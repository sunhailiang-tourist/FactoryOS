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mc:AlternateContent xmlns:mc="http://schemas.openxmlformats.org/markup-compatibility/2006">
    <mc:Choice Requires="x15">
      <x15ac:absPath xmlns:x15ac="http://schemas.microsoft.com/office/spreadsheetml/2010/11/ac" url="/Users/aixiaoxiang/Desktop/"/>
    </mc:Choice>
  </mc:AlternateContent>
  <xr:revisionPtr revIDLastSave="0" documentId="13_ncr:1_{B53AE9A8-633E-1246-93AA-3EF550F6BEAB}" xr6:coauthVersionLast="47" xr6:coauthVersionMax="47" xr10:uidLastSave="{00000000-0000-0000-0000-000000000000}"/>
  <bookViews>
    <workbookView xWindow="0" yWindow="660" windowWidth="25600" windowHeight="10480" tabRatio="730" activeTab="2" xr2:uid="{00000000-000D-0000-FFFF-FFFF00000000}"/>
  </bookViews>
  <sheets>
    <sheet name="日报" sheetId="2" state="hidden" r:id="rId1"/>
    <sheet name="OA进度表" sheetId="25" r:id="rId2"/>
    <sheet name="ERP进度" sheetId="27" r:id="rId3"/>
    <sheet name="机舱-7" sheetId="3" state="hidden" r:id="rId4"/>
    <sheet name="散工位-39" sheetId="1" state="hidden" r:id="rId5"/>
    <sheet name="外委夹具-胜德-127" sheetId="5" state="hidden" r:id="rId6"/>
    <sheet name="外委夹具-承昌-34" sheetId="6" state="hidden" r:id="rId7"/>
  </sheets>
  <definedNames>
    <definedName name="_xlnm._FilterDatabase" localSheetId="1" hidden="1">OA进度表!$B$5:$Q$26</definedName>
    <definedName name="_xlnm._FilterDatabase" localSheetId="3" hidden="1">'机舱-7'!$A$3:$AK$84</definedName>
    <definedName name="_xlnm._FilterDatabase" localSheetId="4" hidden="1">'散工位-39'!$A$3:$AK$160</definedName>
    <definedName name="_xlnm._FilterDatabase" localSheetId="6" hidden="1">'外委夹具-承昌-34'!$A$3:$AK$160</definedName>
    <definedName name="_xlnm._FilterDatabase" localSheetId="5" hidden="1">'外委夹具-胜德-127'!$A$3:$AK$160</definedName>
    <definedName name="_xlnm.Print_Area" localSheetId="1">OA进度表!$B$2:$BM$26</definedName>
    <definedName name="采购订单序时簿">#REF!</definedName>
    <definedName name="多乐June" localSheetId="1">OA进度表!$A$1</definedName>
    <definedName name="多乐June设计" localSheetId="1">OA进度表!$A$1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S6" i="25" l="1"/>
  <c r="NR6" i="25"/>
  <c r="NQ6" i="25"/>
  <c r="NP6" i="25"/>
  <c r="NO6" i="25"/>
  <c r="NN6" i="25"/>
  <c r="NM6" i="25"/>
  <c r="NL6" i="25"/>
  <c r="NK6" i="25"/>
  <c r="NJ6" i="25"/>
  <c r="NI6" i="25"/>
  <c r="NH6" i="25"/>
  <c r="NG6" i="25"/>
  <c r="NF6" i="25"/>
  <c r="NE6" i="25"/>
  <c r="ND6" i="25"/>
  <c r="NC6" i="25"/>
  <c r="NB6" i="25"/>
  <c r="NA6" i="25"/>
  <c r="MZ6" i="25"/>
  <c r="MY6" i="25"/>
  <c r="MX6" i="25"/>
  <c r="MW6" i="25"/>
  <c r="MV6" i="25"/>
  <c r="MU6" i="25"/>
  <c r="MT6" i="25"/>
  <c r="MS6" i="25"/>
  <c r="MR6" i="25"/>
  <c r="MQ6" i="25"/>
  <c r="MP6" i="25"/>
  <c r="MO6" i="25"/>
  <c r="MN6" i="25"/>
  <c r="MM6" i="25"/>
  <c r="ML6" i="25"/>
  <c r="MK6" i="25"/>
  <c r="MJ6" i="25"/>
  <c r="MI6" i="25"/>
  <c r="MH6" i="25"/>
  <c r="MG6" i="25"/>
  <c r="MF6" i="25"/>
  <c r="ME6" i="25"/>
  <c r="MD6" i="25"/>
  <c r="MC6" i="25"/>
  <c r="MB6" i="25"/>
  <c r="MA6" i="25"/>
  <c r="LZ6" i="25"/>
  <c r="LY6" i="25"/>
  <c r="LX6" i="25"/>
  <c r="LW6" i="25"/>
  <c r="LV6" i="25"/>
  <c r="LU6" i="25"/>
  <c r="LT6" i="25"/>
  <c r="LS6" i="25"/>
  <c r="LR6" i="25"/>
  <c r="LQ6" i="25"/>
  <c r="LP6" i="25"/>
  <c r="LO6" i="25"/>
  <c r="LN6" i="25"/>
  <c r="LM6" i="25"/>
  <c r="LL6" i="25"/>
  <c r="LK6" i="25"/>
  <c r="LJ6" i="25"/>
  <c r="LI6" i="25"/>
  <c r="LH6" i="25"/>
  <c r="LG6" i="25"/>
  <c r="LF6" i="25"/>
  <c r="LE6" i="25"/>
  <c r="LD6" i="25"/>
  <c r="LC6" i="25"/>
  <c r="LB6" i="25"/>
  <c r="LA6" i="25"/>
  <c r="KZ6" i="25"/>
  <c r="KY6" i="25"/>
  <c r="KX6" i="25"/>
  <c r="KW6" i="25"/>
  <c r="KV6" i="25"/>
  <c r="KU6" i="25"/>
  <c r="KT6" i="25"/>
  <c r="KS6" i="25"/>
  <c r="KR6" i="25"/>
  <c r="KQ6" i="25"/>
  <c r="KP6" i="25"/>
  <c r="KO6" i="25"/>
  <c r="KN6" i="25"/>
  <c r="KM6" i="25"/>
  <c r="KL6" i="25"/>
  <c r="KK6" i="25"/>
  <c r="KJ6" i="25"/>
  <c r="KI6" i="25"/>
  <c r="KH6" i="25"/>
  <c r="KG6" i="25"/>
  <c r="KF6" i="25"/>
  <c r="KE6" i="25"/>
  <c r="KD6" i="25"/>
  <c r="KC6" i="25"/>
  <c r="KB6" i="25"/>
  <c r="KA6" i="25"/>
  <c r="JZ6" i="25"/>
  <c r="JY6" i="25"/>
  <c r="JX6" i="25"/>
  <c r="JW6" i="25"/>
  <c r="JV6" i="25"/>
  <c r="JU6" i="25"/>
  <c r="JT6" i="25"/>
  <c r="JS6" i="25"/>
  <c r="JR6" i="25"/>
  <c r="JQ6" i="25"/>
  <c r="JP6" i="25"/>
  <c r="JO6" i="25"/>
  <c r="JN6" i="25"/>
  <c r="JM6" i="25"/>
  <c r="JL6" i="25"/>
  <c r="JK6" i="25"/>
  <c r="JJ6" i="25"/>
  <c r="JI6" i="25"/>
  <c r="JH6" i="25"/>
  <c r="JG6" i="25"/>
  <c r="JF6" i="25"/>
  <c r="JE6" i="25"/>
  <c r="JD6" i="25"/>
  <c r="JC6" i="25"/>
  <c r="JB6" i="25"/>
  <c r="JA6" i="25"/>
  <c r="IZ6" i="25"/>
  <c r="IY6" i="25"/>
  <c r="IX6" i="25"/>
  <c r="IW6" i="25"/>
  <c r="IV6" i="25"/>
  <c r="IU6" i="25"/>
  <c r="IT6" i="25"/>
  <c r="IS6" i="25"/>
  <c r="IR6" i="25"/>
  <c r="IQ6" i="25"/>
  <c r="IP6" i="25"/>
  <c r="IO6" i="25"/>
  <c r="IN6" i="25"/>
  <c r="IM6" i="25"/>
  <c r="IL6" i="25"/>
  <c r="IK6" i="25"/>
  <c r="IJ6" i="25"/>
  <c r="II6" i="25"/>
  <c r="IH6" i="25"/>
  <c r="IG6" i="25"/>
  <c r="IF6" i="25"/>
  <c r="IE6" i="25"/>
  <c r="ID6" i="25"/>
  <c r="IC6" i="25"/>
  <c r="IB6" i="25"/>
  <c r="IA6" i="25"/>
  <c r="HZ6" i="25"/>
  <c r="HY6" i="25"/>
  <c r="HX6" i="25"/>
  <c r="HW6" i="25"/>
  <c r="HV6" i="25"/>
  <c r="HU6" i="25"/>
  <c r="HT6" i="25"/>
  <c r="HS6" i="25"/>
  <c r="HR6" i="25"/>
  <c r="HQ6" i="25"/>
  <c r="HP6" i="25"/>
  <c r="HO6" i="25"/>
  <c r="HN6" i="25"/>
  <c r="HM6" i="25"/>
  <c r="HL6" i="25"/>
  <c r="HK6" i="25"/>
  <c r="HJ6" i="25"/>
  <c r="HI6" i="25"/>
  <c r="HH6" i="25"/>
  <c r="HG6" i="25"/>
  <c r="HF6" i="25"/>
  <c r="HE6" i="25"/>
  <c r="HD6" i="25"/>
  <c r="HC6" i="25"/>
  <c r="HB6" i="25"/>
  <c r="HA6" i="25"/>
  <c r="GZ6" i="25"/>
  <c r="GY6" i="25"/>
  <c r="GX6" i="25"/>
  <c r="GW6" i="25"/>
  <c r="GV6" i="25"/>
  <c r="GU6" i="25"/>
  <c r="GT6" i="25"/>
  <c r="GS6" i="25"/>
  <c r="GR6" i="25"/>
  <c r="GQ6" i="25"/>
  <c r="GP6" i="25"/>
  <c r="GO6" i="25"/>
  <c r="GN6" i="25"/>
  <c r="GM6" i="25"/>
  <c r="GL6" i="25"/>
  <c r="GK6" i="25"/>
  <c r="GJ6" i="25"/>
  <c r="GI6" i="25"/>
  <c r="GH6" i="25"/>
  <c r="GG6" i="25"/>
  <c r="GF6" i="25"/>
  <c r="GE6" i="25"/>
  <c r="GD6" i="25"/>
  <c r="GC6" i="25"/>
  <c r="GB6" i="25"/>
  <c r="GA6" i="25"/>
  <c r="FZ6" i="25"/>
  <c r="FY6" i="25"/>
  <c r="FX6" i="25"/>
  <c r="FW6" i="25"/>
  <c r="FV6" i="25"/>
  <c r="FU6" i="25"/>
  <c r="FT6" i="25"/>
  <c r="FS6" i="25"/>
  <c r="FR6" i="25"/>
  <c r="FQ6" i="25"/>
  <c r="FP6" i="25"/>
  <c r="FO6" i="25"/>
  <c r="FN6" i="25"/>
  <c r="FM6" i="25"/>
  <c r="FL6" i="25"/>
  <c r="FK6" i="25"/>
  <c r="FJ6" i="25"/>
  <c r="FI6" i="25"/>
  <c r="FH6" i="25"/>
  <c r="FG6" i="25"/>
  <c r="FF6" i="25"/>
  <c r="FE6" i="25"/>
  <c r="FD6" i="25"/>
  <c r="FC6" i="25"/>
  <c r="FB6" i="25"/>
  <c r="FA6" i="25"/>
  <c r="EZ6" i="25"/>
  <c r="EY6" i="25"/>
  <c r="EX6" i="25"/>
  <c r="EW6" i="25"/>
  <c r="EV6" i="25"/>
  <c r="EU6" i="25"/>
  <c r="ET6" i="25"/>
  <c r="ES6" i="25"/>
  <c r="ER6" i="25"/>
  <c r="EQ6" i="25"/>
  <c r="EP6" i="25"/>
  <c r="EO6" i="25"/>
  <c r="EN6" i="25"/>
  <c r="EM6" i="25"/>
  <c r="EL6" i="25"/>
  <c r="EK6" i="25"/>
  <c r="EJ6" i="25"/>
  <c r="EI6" i="25"/>
  <c r="EH6" i="25"/>
  <c r="EG6" i="25"/>
  <c r="EF6" i="25"/>
  <c r="EE6" i="25"/>
  <c r="ED6" i="25"/>
  <c r="EC6" i="25"/>
  <c r="EB6" i="25"/>
  <c r="EA6" i="25"/>
  <c r="DZ6" i="25"/>
  <c r="DY6" i="25"/>
  <c r="DX6" i="25"/>
  <c r="DW6" i="25"/>
  <c r="DV6" i="25"/>
  <c r="DU6" i="25"/>
  <c r="DT6" i="25"/>
  <c r="DS6" i="25"/>
  <c r="DR6" i="25"/>
  <c r="DQ6" i="25"/>
  <c r="DP6" i="25"/>
  <c r="DO6" i="25"/>
  <c r="DN6" i="25"/>
  <c r="DM6" i="25"/>
  <c r="DL6" i="25"/>
  <c r="DK6" i="25"/>
  <c r="DJ6" i="25"/>
  <c r="DI6" i="25"/>
  <c r="DH6" i="25"/>
  <c r="DG6" i="25"/>
  <c r="DF6" i="25"/>
  <c r="DE6" i="25"/>
  <c r="DD6" i="25"/>
  <c r="DC6" i="25"/>
  <c r="DB6" i="25"/>
  <c r="DA6" i="25"/>
  <c r="CZ6" i="25"/>
  <c r="CY6" i="25"/>
  <c r="CX6" i="25"/>
  <c r="CW6" i="25"/>
  <c r="CV6" i="25"/>
  <c r="CU6" i="25"/>
  <c r="CT6" i="25"/>
  <c r="CS6" i="25"/>
  <c r="CR6" i="25"/>
  <c r="CQ6" i="25"/>
  <c r="CP6" i="25"/>
  <c r="CO6" i="25"/>
  <c r="CN6" i="25"/>
  <c r="CM6" i="25"/>
  <c r="CL6" i="25"/>
  <c r="CK6" i="25"/>
  <c r="CJ6" i="25"/>
  <c r="CI6" i="25"/>
  <c r="CH6" i="25"/>
  <c r="CG6" i="25"/>
  <c r="CF6" i="25"/>
  <c r="CE6" i="25"/>
  <c r="CD6" i="25"/>
  <c r="CC6" i="25"/>
  <c r="CB6" i="25"/>
  <c r="CA6" i="25"/>
  <c r="BZ6" i="25"/>
  <c r="BY6" i="25"/>
  <c r="BX6" i="25"/>
  <c r="BW6" i="25"/>
  <c r="BV6" i="25"/>
  <c r="BU6" i="25"/>
  <c r="BT6" i="25"/>
  <c r="BS6" i="25"/>
  <c r="BR6" i="25"/>
  <c r="BQ6" i="25"/>
  <c r="BP6" i="25"/>
  <c r="BO6" i="25"/>
  <c r="BN6" i="25"/>
  <c r="BM6" i="25"/>
  <c r="BL6" i="25"/>
  <c r="BK6" i="25"/>
  <c r="BJ6" i="25"/>
  <c r="BI6" i="25"/>
  <c r="BH6" i="25"/>
  <c r="BG6" i="25"/>
  <c r="BF6" i="25"/>
  <c r="BE6" i="25"/>
  <c r="BD6" i="25"/>
  <c r="BC6" i="25"/>
  <c r="BB6" i="25"/>
  <c r="BA6" i="25"/>
  <c r="AZ6" i="25"/>
  <c r="AY6" i="25"/>
  <c r="AX6" i="25"/>
  <c r="AW6" i="25"/>
  <c r="AV6" i="25"/>
  <c r="AU6" i="25"/>
  <c r="AT6" i="25"/>
  <c r="AS6" i="25"/>
  <c r="AR6" i="25"/>
  <c r="AQ6" i="25"/>
  <c r="AP6" i="25"/>
  <c r="AO6" i="25"/>
  <c r="AN6" i="25"/>
  <c r="AM6" i="25"/>
  <c r="AL6" i="25"/>
  <c r="AK6" i="25"/>
  <c r="AJ6" i="25"/>
  <c r="AI6" i="25"/>
  <c r="AH6" i="25"/>
  <c r="AG6" i="25"/>
  <c r="AF6" i="25"/>
  <c r="AE6" i="25"/>
  <c r="AD6" i="25"/>
  <c r="AC6" i="25"/>
  <c r="AB6" i="25"/>
  <c r="AA6" i="25"/>
  <c r="Z6" i="25"/>
  <c r="Y6" i="25"/>
  <c r="X6" i="25"/>
  <c r="W6" i="25"/>
  <c r="V6" i="25"/>
  <c r="U6" i="25"/>
  <c r="T6" i="25"/>
  <c r="S6" i="25"/>
  <c r="R6" i="25"/>
  <c r="NS5" i="25"/>
  <c r="NR5" i="25"/>
  <c r="NQ5" i="25"/>
  <c r="NP5" i="25"/>
  <c r="NO5" i="25"/>
  <c r="NN5" i="25"/>
  <c r="NM5" i="25"/>
  <c r="NL5" i="25"/>
  <c r="NK5" i="25"/>
  <c r="NJ5" i="25"/>
  <c r="NI5" i="25"/>
  <c r="NH5" i="25"/>
  <c r="NG5" i="25"/>
  <c r="NF5" i="25"/>
  <c r="NE5" i="25"/>
  <c r="ND5" i="25"/>
  <c r="NC5" i="25"/>
  <c r="NB5" i="25"/>
  <c r="NA5" i="25"/>
  <c r="MZ5" i="25"/>
  <c r="MY5" i="25"/>
  <c r="MX5" i="25"/>
  <c r="MW5" i="25"/>
  <c r="MV5" i="25"/>
  <c r="MU5" i="25"/>
  <c r="MT5" i="25"/>
  <c r="MS5" i="25"/>
  <c r="MR5" i="25"/>
  <c r="MQ5" i="25"/>
  <c r="MP5" i="25"/>
  <c r="MO5" i="25"/>
  <c r="MN5" i="25"/>
  <c r="MM5" i="25"/>
  <c r="ML5" i="25"/>
  <c r="MK5" i="25"/>
  <c r="MJ5" i="25"/>
  <c r="MI5" i="25"/>
  <c r="MH5" i="25"/>
  <c r="MG5" i="25"/>
  <c r="MF5" i="25"/>
  <c r="ME5" i="25"/>
  <c r="MD5" i="25"/>
  <c r="MC5" i="25"/>
  <c r="MB5" i="25"/>
  <c r="MA5" i="25"/>
  <c r="LZ5" i="25"/>
  <c r="LY5" i="25"/>
  <c r="LX5" i="25"/>
  <c r="LW5" i="25"/>
  <c r="LV5" i="25"/>
  <c r="LU5" i="25"/>
  <c r="LT5" i="25"/>
  <c r="LS5" i="25"/>
  <c r="LR5" i="25"/>
  <c r="LQ5" i="25"/>
  <c r="LP5" i="25"/>
  <c r="LO5" i="25"/>
  <c r="LN5" i="25"/>
  <c r="LM5" i="25"/>
  <c r="LL5" i="25"/>
  <c r="LK5" i="25"/>
  <c r="LJ5" i="25"/>
  <c r="LI5" i="25"/>
  <c r="LH5" i="25"/>
  <c r="LG5" i="25"/>
  <c r="LF5" i="25"/>
  <c r="LE5" i="25"/>
  <c r="LD5" i="25"/>
  <c r="LC5" i="25"/>
  <c r="LB5" i="25"/>
  <c r="LA5" i="25"/>
  <c r="KZ5" i="25"/>
  <c r="KY5" i="25"/>
  <c r="KX5" i="25"/>
  <c r="KW5" i="25"/>
  <c r="KV5" i="25"/>
  <c r="KU5" i="25"/>
  <c r="KT5" i="25"/>
  <c r="KS5" i="25"/>
  <c r="KR5" i="25"/>
  <c r="KQ5" i="25"/>
  <c r="KP5" i="25"/>
  <c r="KO5" i="25"/>
  <c r="KN5" i="25"/>
  <c r="KM5" i="25"/>
  <c r="KL5" i="25"/>
  <c r="KK5" i="25"/>
  <c r="KJ5" i="25"/>
  <c r="KI5" i="25"/>
  <c r="KH5" i="25"/>
  <c r="KG5" i="25"/>
  <c r="KF5" i="25"/>
  <c r="KE5" i="25"/>
  <c r="KD5" i="25"/>
  <c r="KC5" i="25"/>
  <c r="KB5" i="25"/>
  <c r="KA5" i="25"/>
  <c r="JZ5" i="25"/>
  <c r="JY5" i="25"/>
  <c r="JX5" i="25"/>
  <c r="JW5" i="25"/>
  <c r="JV5" i="25"/>
  <c r="JU5" i="25"/>
  <c r="JT5" i="25"/>
  <c r="JS5" i="25"/>
  <c r="JR5" i="25"/>
  <c r="JQ5" i="25"/>
  <c r="JP5" i="25"/>
  <c r="JO5" i="25"/>
  <c r="JN5" i="25"/>
  <c r="JM5" i="25"/>
  <c r="JL5" i="25"/>
  <c r="JK5" i="25"/>
  <c r="JJ5" i="25"/>
  <c r="JI5" i="25"/>
  <c r="JH5" i="25"/>
  <c r="JG5" i="25"/>
  <c r="JF5" i="25"/>
  <c r="JE5" i="25"/>
  <c r="JD5" i="25"/>
  <c r="JC5" i="25"/>
  <c r="JB5" i="25"/>
  <c r="JA5" i="25"/>
  <c r="IZ5" i="25"/>
  <c r="IY5" i="25"/>
  <c r="IX5" i="25"/>
  <c r="IW5" i="25"/>
  <c r="IV5" i="25"/>
  <c r="IU5" i="25"/>
  <c r="IT5" i="25"/>
  <c r="IS5" i="25"/>
  <c r="IR5" i="25"/>
  <c r="IQ5" i="25"/>
  <c r="IP5" i="25"/>
  <c r="IO5" i="25"/>
  <c r="IN5" i="25"/>
  <c r="IM5" i="25"/>
  <c r="IL5" i="25"/>
  <c r="IK5" i="25"/>
  <c r="IJ5" i="25"/>
  <c r="II5" i="25"/>
  <c r="IH5" i="25"/>
  <c r="IG5" i="25"/>
  <c r="IF5" i="25"/>
  <c r="IE5" i="25"/>
  <c r="ID5" i="25"/>
  <c r="IC5" i="25"/>
  <c r="IB5" i="25"/>
  <c r="IA5" i="25"/>
  <c r="HZ5" i="25"/>
  <c r="HY5" i="25"/>
  <c r="HX5" i="25"/>
  <c r="HW5" i="25"/>
  <c r="HV5" i="25"/>
  <c r="HU5" i="25"/>
  <c r="HT5" i="25"/>
  <c r="HS5" i="25"/>
  <c r="HR5" i="25"/>
  <c r="HQ5" i="25"/>
  <c r="HP5" i="25"/>
  <c r="HO5" i="25"/>
  <c r="HN5" i="25"/>
  <c r="HM5" i="25"/>
  <c r="HL5" i="25"/>
  <c r="HK5" i="25"/>
  <c r="HJ5" i="25"/>
  <c r="HI5" i="25"/>
  <c r="HH5" i="25"/>
  <c r="HG5" i="25"/>
  <c r="HF5" i="25"/>
  <c r="HE5" i="25"/>
  <c r="HD5" i="25"/>
  <c r="HC5" i="25"/>
  <c r="HB5" i="25"/>
  <c r="HA5" i="25"/>
  <c r="GZ5" i="25"/>
  <c r="GY5" i="25"/>
  <c r="GX5" i="25"/>
  <c r="GW5" i="25"/>
  <c r="GV5" i="25"/>
  <c r="GU5" i="25"/>
  <c r="GT5" i="25"/>
  <c r="GS5" i="25"/>
  <c r="GR5" i="25"/>
  <c r="GQ5" i="25"/>
  <c r="GP5" i="25"/>
  <c r="GO5" i="25"/>
  <c r="GN5" i="25"/>
  <c r="GM5" i="25"/>
  <c r="GL5" i="25"/>
  <c r="GK5" i="25"/>
  <c r="GJ5" i="25"/>
  <c r="GI5" i="25"/>
  <c r="GH5" i="25"/>
  <c r="GG5" i="25"/>
  <c r="GF5" i="25"/>
  <c r="GE5" i="25"/>
  <c r="GD5" i="25"/>
  <c r="GC5" i="25"/>
  <c r="GB5" i="25"/>
  <c r="GA5" i="25"/>
  <c r="FZ5" i="25"/>
  <c r="FY5" i="25"/>
  <c r="FX5" i="25"/>
  <c r="FW5" i="25"/>
  <c r="FV5" i="25"/>
  <c r="FU5" i="25"/>
  <c r="FT5" i="25"/>
  <c r="FS5" i="25"/>
  <c r="FR5" i="25"/>
  <c r="FQ5" i="25"/>
  <c r="FP5" i="25"/>
  <c r="FO5" i="25"/>
  <c r="FN5" i="25"/>
  <c r="FM5" i="25"/>
  <c r="FL5" i="25"/>
  <c r="FK5" i="25"/>
  <c r="FJ5" i="25"/>
  <c r="FI5" i="25"/>
  <c r="FH5" i="25"/>
  <c r="FG5" i="25"/>
  <c r="FF5" i="25"/>
  <c r="FE5" i="25"/>
  <c r="FD5" i="25"/>
  <c r="FC5" i="25"/>
  <c r="FB5" i="25"/>
  <c r="FA5" i="25"/>
  <c r="EZ5" i="25"/>
  <c r="EY5" i="25"/>
  <c r="EX5" i="25"/>
  <c r="EW5" i="25"/>
  <c r="EV5" i="25"/>
  <c r="EU5" i="25"/>
  <c r="ET5" i="25"/>
  <c r="ES5" i="25"/>
  <c r="ER5" i="25"/>
  <c r="EQ5" i="25"/>
  <c r="EP5" i="25"/>
  <c r="EO5" i="25"/>
  <c r="EN5" i="25"/>
  <c r="EM5" i="25"/>
  <c r="EL5" i="25"/>
  <c r="EK5" i="25"/>
  <c r="EJ5" i="25"/>
  <c r="EI5" i="25"/>
  <c r="EH5" i="25"/>
  <c r="EG5" i="25"/>
  <c r="EF5" i="25"/>
  <c r="EE5" i="25"/>
  <c r="ED5" i="25"/>
  <c r="EC5" i="25"/>
  <c r="EB5" i="25"/>
  <c r="EA5" i="25"/>
  <c r="DZ5" i="25"/>
  <c r="DY5" i="25"/>
  <c r="DX5" i="25"/>
  <c r="DW5" i="25"/>
  <c r="DV5" i="25"/>
  <c r="DU5" i="25"/>
  <c r="DT5" i="25"/>
  <c r="DS5" i="25"/>
  <c r="DR5" i="25"/>
  <c r="DQ5" i="25"/>
  <c r="DP5" i="25"/>
  <c r="DO5" i="25"/>
  <c r="DN5" i="25"/>
  <c r="DM5" i="25"/>
  <c r="DL5" i="25"/>
  <c r="DK5" i="25"/>
  <c r="DJ5" i="25"/>
  <c r="DI5" i="25"/>
  <c r="DH5" i="25"/>
  <c r="DG5" i="25"/>
  <c r="DF5" i="25"/>
  <c r="DE5" i="25"/>
  <c r="DD5" i="25"/>
  <c r="DC5" i="25"/>
  <c r="DB5" i="25"/>
  <c r="DA5" i="25"/>
  <c r="CZ5" i="25"/>
  <c r="CY5" i="25"/>
  <c r="CX5" i="25"/>
  <c r="CW5" i="25"/>
  <c r="CV5" i="25"/>
  <c r="CU5" i="25"/>
  <c r="CT5" i="25"/>
  <c r="CS5" i="25"/>
  <c r="CR5" i="25"/>
  <c r="CQ5" i="25"/>
  <c r="CP5" i="25"/>
  <c r="CO5" i="25"/>
  <c r="CN5" i="25"/>
  <c r="CM5" i="25"/>
  <c r="CL5" i="25"/>
  <c r="CK5" i="25"/>
  <c r="CJ5" i="25"/>
  <c r="CI5" i="25"/>
  <c r="CH5" i="25"/>
  <c r="CG5" i="25"/>
  <c r="CF5" i="25"/>
  <c r="CE5" i="25"/>
  <c r="CD5" i="25"/>
  <c r="CC5" i="25"/>
  <c r="CB5" i="25"/>
  <c r="CA5" i="25"/>
  <c r="BZ5" i="25"/>
  <c r="BY5" i="25"/>
  <c r="BX5" i="25"/>
  <c r="BW5" i="25"/>
  <c r="BV5" i="25"/>
  <c r="BU5" i="25"/>
  <c r="BT5" i="25"/>
  <c r="BS5" i="25"/>
  <c r="BR5" i="25"/>
  <c r="BQ5" i="25"/>
  <c r="BP5" i="25"/>
  <c r="BO5" i="25"/>
  <c r="BN5" i="25"/>
  <c r="BM5" i="25"/>
  <c r="BL5" i="25"/>
  <c r="BK5" i="25"/>
  <c r="BJ5" i="25"/>
  <c r="BI5" i="25"/>
  <c r="BH5" i="25"/>
  <c r="BG5" i="25"/>
  <c r="BF5" i="25"/>
  <c r="BE5" i="25"/>
  <c r="BD5" i="25"/>
  <c r="BC5" i="25"/>
  <c r="BB5" i="25"/>
  <c r="BA5" i="25"/>
  <c r="AZ5" i="25"/>
  <c r="AY5" i="25"/>
  <c r="AX5" i="25"/>
  <c r="AW5" i="25"/>
  <c r="AV5" i="25"/>
  <c r="AU5" i="25"/>
  <c r="AT5" i="25"/>
  <c r="AS5" i="25"/>
  <c r="AR5" i="25"/>
  <c r="AQ5" i="25"/>
  <c r="AP5" i="25"/>
  <c r="AO5" i="25"/>
  <c r="AN5" i="25"/>
  <c r="AM5" i="25"/>
  <c r="AL5" i="25"/>
  <c r="AK5" i="25"/>
  <c r="AJ5" i="25"/>
  <c r="AI5" i="25"/>
  <c r="AH5" i="25"/>
  <c r="AG5" i="25"/>
  <c r="AF5" i="25"/>
  <c r="AE5" i="25"/>
  <c r="AD5" i="25"/>
  <c r="AC5" i="25"/>
  <c r="AB5" i="25"/>
  <c r="AA5" i="25"/>
  <c r="Z5" i="25"/>
  <c r="Y5" i="25"/>
  <c r="X5" i="25"/>
  <c r="W5" i="25"/>
  <c r="V5" i="25"/>
  <c r="U5" i="25"/>
  <c r="T5" i="25"/>
  <c r="S5" i="25"/>
  <c r="R5" i="25"/>
  <c r="NS4" i="25"/>
  <c r="NR4" i="25"/>
  <c r="NQ4" i="25"/>
  <c r="NP4" i="25"/>
  <c r="NO4" i="25"/>
  <c r="NN4" i="25"/>
  <c r="NM4" i="25"/>
  <c r="NL4" i="25"/>
  <c r="NK4" i="25"/>
  <c r="NJ4" i="25"/>
  <c r="NI4" i="25"/>
  <c r="NH4" i="25"/>
  <c r="NG4" i="25"/>
  <c r="NF4" i="25"/>
  <c r="NE4" i="25"/>
  <c r="ND4" i="25"/>
  <c r="NC4" i="25"/>
  <c r="NB4" i="25"/>
  <c r="NA4" i="25"/>
  <c r="MZ4" i="25"/>
  <c r="MY4" i="25"/>
  <c r="MX4" i="25"/>
  <c r="MW4" i="25"/>
  <c r="MV4" i="25"/>
  <c r="MU4" i="25"/>
  <c r="MT4" i="25"/>
  <c r="MS4" i="25"/>
  <c r="MR4" i="25"/>
  <c r="MQ4" i="25"/>
  <c r="MP4" i="25"/>
  <c r="MO4" i="25"/>
  <c r="MN4" i="25"/>
  <c r="MM4" i="25"/>
  <c r="ML4" i="25"/>
  <c r="MK4" i="25"/>
  <c r="MJ4" i="25"/>
  <c r="MI4" i="25"/>
  <c r="MH4" i="25"/>
  <c r="MG4" i="25"/>
  <c r="MF4" i="25"/>
  <c r="ME4" i="25"/>
  <c r="MD4" i="25"/>
  <c r="MC4" i="25"/>
  <c r="MB4" i="25"/>
  <c r="MA4" i="25"/>
  <c r="LZ4" i="25"/>
  <c r="LY4" i="25"/>
  <c r="LX4" i="25"/>
  <c r="LW4" i="25"/>
  <c r="LV4" i="25"/>
  <c r="LU4" i="25"/>
  <c r="LT4" i="25"/>
  <c r="LS4" i="25"/>
  <c r="LR4" i="25"/>
  <c r="LQ4" i="25"/>
  <c r="LP4" i="25"/>
  <c r="LO4" i="25"/>
  <c r="LN4" i="25"/>
  <c r="LM4" i="25"/>
  <c r="LL4" i="25"/>
  <c r="LK4" i="25"/>
  <c r="LJ4" i="25"/>
  <c r="LI4" i="25"/>
  <c r="LH4" i="25"/>
  <c r="LG4" i="25"/>
  <c r="LF4" i="25"/>
  <c r="LE4" i="25"/>
  <c r="LD4" i="25"/>
  <c r="LC4" i="25"/>
  <c r="LB4" i="25"/>
  <c r="LA4" i="25"/>
  <c r="KZ4" i="25"/>
  <c r="KY4" i="25"/>
  <c r="KX4" i="25"/>
  <c r="KW4" i="25"/>
  <c r="KV4" i="25"/>
  <c r="KU4" i="25"/>
  <c r="KT4" i="25"/>
  <c r="KS4" i="25"/>
  <c r="KR4" i="25"/>
  <c r="KQ4" i="25"/>
  <c r="KP4" i="25"/>
  <c r="KO4" i="25"/>
  <c r="KN4" i="25"/>
  <c r="KM4" i="25"/>
  <c r="KL4" i="25"/>
  <c r="KK4" i="25"/>
  <c r="KJ4" i="25"/>
  <c r="KI4" i="25"/>
  <c r="KH4" i="25"/>
  <c r="KG4" i="25"/>
  <c r="KF4" i="25"/>
  <c r="KE4" i="25"/>
  <c r="KD4" i="25"/>
  <c r="KC4" i="25"/>
  <c r="KB4" i="25"/>
  <c r="KA4" i="25"/>
  <c r="JZ4" i="25"/>
  <c r="JY4" i="25"/>
  <c r="JX4" i="25"/>
  <c r="JW4" i="25"/>
  <c r="JV4" i="25"/>
  <c r="JU4" i="25"/>
  <c r="JT4" i="25"/>
  <c r="JS4" i="25"/>
  <c r="JR4" i="25"/>
  <c r="JQ4" i="25"/>
  <c r="JP4" i="25"/>
  <c r="JO4" i="25"/>
  <c r="JN4" i="25"/>
  <c r="JM4" i="25"/>
  <c r="JL4" i="25"/>
  <c r="JK4" i="25"/>
  <c r="JJ4" i="25"/>
  <c r="JI4" i="25"/>
  <c r="JH4" i="25"/>
  <c r="JG4" i="25"/>
  <c r="JF4" i="25"/>
  <c r="JE4" i="25"/>
  <c r="JD4" i="25"/>
  <c r="JC4" i="25"/>
  <c r="JB4" i="25"/>
  <c r="JA4" i="25"/>
  <c r="IZ4" i="25"/>
  <c r="IY4" i="25"/>
  <c r="IX4" i="25"/>
  <c r="IW4" i="25"/>
  <c r="IV4" i="25"/>
  <c r="IU4" i="25"/>
  <c r="IT4" i="25"/>
  <c r="IS4" i="25"/>
  <c r="IR4" i="25"/>
  <c r="IQ4" i="25"/>
  <c r="IP4" i="25"/>
  <c r="IO4" i="25"/>
  <c r="IN4" i="25"/>
  <c r="IM4" i="25"/>
  <c r="IL4" i="25"/>
  <c r="IK4" i="25"/>
  <c r="IJ4" i="25"/>
  <c r="II4" i="25"/>
  <c r="IH4" i="25"/>
  <c r="IG4" i="25"/>
  <c r="IF4" i="25"/>
  <c r="IE4" i="25"/>
  <c r="ID4" i="25"/>
  <c r="IC4" i="25"/>
  <c r="IB4" i="25"/>
  <c r="IA4" i="25"/>
  <c r="HZ4" i="25"/>
  <c r="HY4" i="25"/>
  <c r="HX4" i="25"/>
  <c r="HW4" i="25"/>
  <c r="HV4" i="25"/>
  <c r="HU4" i="25"/>
  <c r="HT4" i="25"/>
  <c r="HS4" i="25"/>
  <c r="HR4" i="25"/>
  <c r="HQ4" i="25"/>
  <c r="HP4" i="25"/>
  <c r="HO4" i="25"/>
  <c r="HN4" i="25"/>
  <c r="HM4" i="25"/>
  <c r="HL4" i="25"/>
  <c r="HK4" i="25"/>
  <c r="HJ4" i="25"/>
  <c r="HI4" i="25"/>
  <c r="HH4" i="25"/>
  <c r="HG4" i="25"/>
  <c r="HF4" i="25"/>
  <c r="HE4" i="25"/>
  <c r="HD4" i="25"/>
  <c r="HC4" i="25"/>
  <c r="HB4" i="25"/>
  <c r="HA4" i="25"/>
  <c r="GZ4" i="25"/>
  <c r="GY4" i="25"/>
  <c r="GX4" i="25"/>
  <c r="GW4" i="25"/>
  <c r="GV4" i="25"/>
  <c r="GU4" i="25"/>
  <c r="GT4" i="25"/>
  <c r="GS4" i="25"/>
  <c r="GR4" i="25"/>
  <c r="GQ4" i="25"/>
  <c r="GP4" i="25"/>
  <c r="GO4" i="25"/>
  <c r="GN4" i="25"/>
  <c r="GM4" i="25"/>
  <c r="GL4" i="25"/>
  <c r="GK4" i="25"/>
  <c r="GJ4" i="25"/>
  <c r="GI4" i="25"/>
  <c r="GH4" i="25"/>
  <c r="GG4" i="25"/>
  <c r="GF4" i="25"/>
  <c r="GE4" i="25"/>
  <c r="GD4" i="25"/>
  <c r="GC4" i="25"/>
  <c r="GB4" i="25"/>
  <c r="GA4" i="25"/>
  <c r="FZ4" i="25"/>
  <c r="FY4" i="25"/>
  <c r="FX4" i="25"/>
  <c r="FW4" i="25"/>
  <c r="FV4" i="25"/>
  <c r="FU4" i="25"/>
  <c r="FT4" i="25"/>
  <c r="FS4" i="25"/>
  <c r="FR4" i="25"/>
  <c r="FQ4" i="25"/>
  <c r="FP4" i="25"/>
  <c r="FO4" i="25"/>
  <c r="FN4" i="25"/>
  <c r="FM4" i="25"/>
  <c r="FL4" i="25"/>
  <c r="FK4" i="25"/>
  <c r="FJ4" i="25"/>
  <c r="FI4" i="25"/>
  <c r="FH4" i="25"/>
  <c r="FG4" i="25"/>
  <c r="FF4" i="25"/>
  <c r="FE4" i="25"/>
  <c r="FD4" i="25"/>
  <c r="FC4" i="25"/>
  <c r="FB4" i="25"/>
  <c r="FA4" i="25"/>
  <c r="EZ4" i="25"/>
  <c r="EY4" i="25"/>
  <c r="EX4" i="25"/>
  <c r="EW4" i="25"/>
  <c r="EV4" i="25"/>
  <c r="EU4" i="25"/>
  <c r="ET4" i="25"/>
  <c r="ES4" i="25"/>
  <c r="ER4" i="25"/>
  <c r="EQ4" i="25"/>
  <c r="EP4" i="25"/>
  <c r="EO4" i="25"/>
  <c r="EN4" i="25"/>
  <c r="EM4" i="25"/>
  <c r="EL4" i="25"/>
  <c r="EK4" i="25"/>
  <c r="EJ4" i="25"/>
  <c r="EI4" i="25"/>
  <c r="EH4" i="25"/>
  <c r="EG4" i="25"/>
  <c r="EF4" i="25"/>
  <c r="EE4" i="25"/>
  <c r="ED4" i="25"/>
  <c r="EC4" i="25"/>
  <c r="EB4" i="25"/>
  <c r="EA4" i="25"/>
  <c r="DZ4" i="25"/>
  <c r="DY4" i="25"/>
  <c r="DX4" i="25"/>
  <c r="DW4" i="25"/>
  <c r="DV4" i="25"/>
  <c r="DU4" i="25"/>
  <c r="DT4" i="25"/>
  <c r="DS4" i="25"/>
  <c r="DR4" i="25"/>
  <c r="DQ4" i="25"/>
  <c r="DP4" i="25"/>
  <c r="DO4" i="25"/>
  <c r="DN4" i="25"/>
  <c r="DM4" i="25"/>
  <c r="DL4" i="25"/>
  <c r="DK4" i="25"/>
  <c r="DJ4" i="25"/>
  <c r="DI4" i="25"/>
  <c r="DH4" i="25"/>
  <c r="DG4" i="25"/>
  <c r="DF4" i="25"/>
  <c r="DE4" i="25"/>
  <c r="DD4" i="25"/>
  <c r="DC4" i="25"/>
  <c r="DB4" i="25"/>
  <c r="DA4" i="25"/>
  <c r="CZ4" i="25"/>
  <c r="CY4" i="25"/>
  <c r="CX4" i="25"/>
  <c r="CW4" i="25"/>
  <c r="CV4" i="25"/>
  <c r="CU4" i="25"/>
  <c r="CT4" i="25"/>
  <c r="CS4" i="25"/>
  <c r="CR4" i="25"/>
  <c r="CQ4" i="25"/>
  <c r="CP4" i="25"/>
  <c r="CO4" i="25"/>
  <c r="CN4" i="25"/>
  <c r="CM4" i="25"/>
  <c r="CL4" i="25"/>
  <c r="CK4" i="25"/>
  <c r="CJ4" i="25"/>
  <c r="CI4" i="25"/>
  <c r="CH4" i="25"/>
  <c r="CG4" i="25"/>
  <c r="CF4" i="25"/>
  <c r="CE4" i="25"/>
  <c r="CD4" i="25"/>
  <c r="CC4" i="25"/>
  <c r="CB4" i="25"/>
  <c r="CA4" i="25"/>
  <c r="BZ4" i="25"/>
  <c r="BY4" i="25"/>
  <c r="BX4" i="25"/>
  <c r="BW4" i="25"/>
  <c r="BV4" i="25"/>
  <c r="BU4" i="25"/>
  <c r="BT4" i="25"/>
  <c r="BS4" i="25"/>
  <c r="BR4" i="25"/>
  <c r="BQ4" i="25"/>
  <c r="BP4" i="25"/>
  <c r="BO4" i="25"/>
  <c r="BN4" i="25"/>
  <c r="BM4" i="25"/>
  <c r="BL4" i="25"/>
  <c r="BK4" i="25"/>
  <c r="BJ4" i="25"/>
  <c r="BI4" i="25"/>
  <c r="BH4" i="25"/>
  <c r="BG4" i="25"/>
  <c r="BF4" i="25"/>
  <c r="BE4" i="25"/>
  <c r="BD4" i="25"/>
  <c r="BC4" i="25"/>
  <c r="BB4" i="25"/>
  <c r="BA4" i="25"/>
  <c r="AZ4" i="25"/>
  <c r="AY4" i="25"/>
  <c r="AX4" i="25"/>
  <c r="AW4" i="25"/>
  <c r="AV4" i="25"/>
  <c r="AU4" i="25"/>
  <c r="AT4" i="25"/>
  <c r="AS4" i="25"/>
  <c r="AR4" i="25"/>
  <c r="AQ4" i="25"/>
  <c r="AP4" i="25"/>
  <c r="AO4" i="25"/>
  <c r="AN4" i="25"/>
  <c r="AM4" i="25"/>
  <c r="AL4" i="25"/>
  <c r="AK4" i="25"/>
  <c r="AJ4" i="25"/>
  <c r="AI4" i="25"/>
  <c r="AH4" i="25"/>
  <c r="AG4" i="25"/>
  <c r="AF4" i="25"/>
  <c r="AE4" i="25"/>
  <c r="AD4" i="25"/>
  <c r="AC4" i="25"/>
  <c r="AB4" i="25"/>
  <c r="AA4" i="25"/>
  <c r="Z4" i="25"/>
  <c r="Y4" i="25"/>
  <c r="X4" i="25"/>
  <c r="W4" i="25"/>
  <c r="V4" i="25"/>
  <c r="U4" i="25"/>
  <c r="T4" i="25"/>
  <c r="S4" i="25"/>
  <c r="R4" i="25"/>
  <c r="NS3" i="25"/>
  <c r="NR3" i="25"/>
  <c r="NQ3" i="25"/>
  <c r="NP3" i="25"/>
  <c r="NO3" i="25"/>
  <c r="NN3" i="25"/>
  <c r="NM3" i="25"/>
  <c r="NL3" i="25"/>
  <c r="NK3" i="25"/>
  <c r="NJ3" i="25"/>
  <c r="NI3" i="25"/>
  <c r="NH3" i="25"/>
  <c r="NG3" i="25"/>
  <c r="NF3" i="25"/>
  <c r="NE3" i="25"/>
  <c r="ND3" i="25"/>
  <c r="NC3" i="25"/>
  <c r="NB3" i="25"/>
  <c r="NA3" i="25"/>
  <c r="MZ3" i="25"/>
  <c r="MY3" i="25"/>
  <c r="MX3" i="25"/>
  <c r="MW3" i="25"/>
  <c r="MV3" i="25"/>
  <c r="MU3" i="25"/>
  <c r="MT3" i="25"/>
  <c r="MS3" i="25"/>
  <c r="MR3" i="25"/>
  <c r="MQ3" i="25"/>
  <c r="MP3" i="25"/>
  <c r="MO3" i="25"/>
  <c r="MN3" i="25"/>
  <c r="MM3" i="25"/>
  <c r="ML3" i="25"/>
  <c r="MK3" i="25"/>
  <c r="MJ3" i="25"/>
  <c r="MI3" i="25"/>
  <c r="MH3" i="25"/>
  <c r="MG3" i="25"/>
  <c r="MF3" i="25"/>
  <c r="ME3" i="25"/>
  <c r="MD3" i="25"/>
  <c r="MC3" i="25"/>
  <c r="MB3" i="25"/>
  <c r="MA3" i="25"/>
  <c r="LZ3" i="25"/>
  <c r="LY3" i="25"/>
  <c r="LX3" i="25"/>
  <c r="LW3" i="25"/>
  <c r="LV3" i="25"/>
  <c r="LU3" i="25"/>
  <c r="LT3" i="25"/>
  <c r="LS3" i="25"/>
  <c r="LR3" i="25"/>
  <c r="LQ3" i="25"/>
  <c r="LP3" i="25"/>
  <c r="LO3" i="25"/>
  <c r="LN3" i="25"/>
  <c r="LM3" i="25"/>
  <c r="LL3" i="25"/>
  <c r="LK3" i="25"/>
  <c r="LJ3" i="25"/>
  <c r="LI3" i="25"/>
  <c r="LH3" i="25"/>
  <c r="LG3" i="25"/>
  <c r="LF3" i="25"/>
  <c r="LE3" i="25"/>
  <c r="LD3" i="25"/>
  <c r="LC3" i="25"/>
  <c r="LB3" i="25"/>
  <c r="LA3" i="25"/>
  <c r="KZ3" i="25"/>
  <c r="KY3" i="25"/>
  <c r="KX3" i="25"/>
  <c r="KW3" i="25"/>
  <c r="KV3" i="25"/>
  <c r="KU3" i="25"/>
  <c r="KT3" i="25"/>
  <c r="KS3" i="25"/>
  <c r="KR3" i="25"/>
  <c r="KQ3" i="25"/>
  <c r="KP3" i="25"/>
  <c r="KO3" i="25"/>
  <c r="KN3" i="25"/>
  <c r="KM3" i="25"/>
  <c r="KL3" i="25"/>
  <c r="KK3" i="25"/>
  <c r="KJ3" i="25"/>
  <c r="KI3" i="25"/>
  <c r="KH3" i="25"/>
  <c r="KG3" i="25"/>
  <c r="KF3" i="25"/>
  <c r="KE3" i="25"/>
  <c r="KD3" i="25"/>
  <c r="KC3" i="25"/>
  <c r="KB3" i="25"/>
  <c r="KA3" i="25"/>
  <c r="JZ3" i="25"/>
  <c r="JY3" i="25"/>
  <c r="JX3" i="25"/>
  <c r="JW3" i="25"/>
  <c r="JV3" i="25"/>
  <c r="JU3" i="25"/>
  <c r="JT3" i="25"/>
  <c r="JS3" i="25"/>
  <c r="JR3" i="25"/>
  <c r="JQ3" i="25"/>
  <c r="JP3" i="25"/>
  <c r="JO3" i="25"/>
  <c r="JN3" i="25"/>
  <c r="JM3" i="25"/>
  <c r="JL3" i="25"/>
  <c r="JK3" i="25"/>
  <c r="JJ3" i="25"/>
  <c r="JI3" i="25"/>
  <c r="JH3" i="25"/>
  <c r="JG3" i="25"/>
  <c r="JF3" i="25"/>
  <c r="JE3" i="25"/>
  <c r="JD3" i="25"/>
  <c r="JC3" i="25"/>
  <c r="JB3" i="25"/>
  <c r="JA3" i="25"/>
  <c r="IZ3" i="25"/>
  <c r="IY3" i="25"/>
  <c r="IX3" i="25"/>
  <c r="IW3" i="25"/>
  <c r="IV3" i="25"/>
  <c r="IU3" i="25"/>
  <c r="IT3" i="25"/>
  <c r="IS3" i="25"/>
  <c r="IR3" i="25"/>
  <c r="IQ3" i="25"/>
  <c r="IP3" i="25"/>
  <c r="IO3" i="25"/>
  <c r="IN3" i="25"/>
  <c r="IM3" i="25"/>
  <c r="IL3" i="25"/>
  <c r="IK3" i="25"/>
  <c r="IJ3" i="25"/>
  <c r="II3" i="25"/>
  <c r="IH3" i="25"/>
  <c r="IG3" i="25"/>
  <c r="IF3" i="25"/>
  <c r="IE3" i="25"/>
  <c r="ID3" i="25"/>
  <c r="IC3" i="25"/>
  <c r="IB3" i="25"/>
  <c r="IA3" i="25"/>
  <c r="HZ3" i="25"/>
  <c r="HY3" i="25"/>
  <c r="HX3" i="25"/>
  <c r="HW3" i="25"/>
  <c r="HV3" i="25"/>
  <c r="HU3" i="25"/>
  <c r="HT3" i="25"/>
  <c r="HS3" i="25"/>
  <c r="HR3" i="25"/>
  <c r="HQ3" i="25"/>
  <c r="HP3" i="25"/>
  <c r="HO3" i="25"/>
  <c r="HN3" i="25"/>
  <c r="HM3" i="25"/>
  <c r="HL3" i="25"/>
  <c r="HK3" i="25"/>
  <c r="HJ3" i="25"/>
  <c r="HI3" i="25"/>
  <c r="HH3" i="25"/>
  <c r="HG3" i="25"/>
  <c r="HF3" i="25"/>
  <c r="HE3" i="25"/>
  <c r="HD3" i="25"/>
  <c r="HC3" i="25"/>
  <c r="HB3" i="25"/>
  <c r="HA3" i="25"/>
  <c r="GZ3" i="25"/>
  <c r="GY3" i="25"/>
  <c r="GX3" i="25"/>
  <c r="GW3" i="25"/>
  <c r="GV3" i="25"/>
  <c r="GU3" i="25"/>
  <c r="GT3" i="25"/>
  <c r="GS3" i="25"/>
  <c r="GR3" i="25"/>
  <c r="GQ3" i="25"/>
  <c r="GP3" i="25"/>
  <c r="GO3" i="25"/>
  <c r="GN3" i="25"/>
  <c r="GM3" i="25"/>
  <c r="GL3" i="25"/>
  <c r="GK3" i="25"/>
  <c r="GJ3" i="25"/>
  <c r="GI3" i="25"/>
  <c r="GH3" i="25"/>
  <c r="GG3" i="25"/>
  <c r="GF3" i="25"/>
  <c r="GE3" i="25"/>
  <c r="GD3" i="25"/>
  <c r="GC3" i="25"/>
  <c r="GB3" i="25"/>
  <c r="GA3" i="25"/>
  <c r="FZ3" i="25"/>
  <c r="FY3" i="25"/>
  <c r="FX3" i="25"/>
  <c r="FW3" i="25"/>
  <c r="FV3" i="25"/>
  <c r="FU3" i="25"/>
  <c r="FT3" i="25"/>
  <c r="FS3" i="25"/>
  <c r="FR3" i="25"/>
  <c r="FQ3" i="25"/>
  <c r="FP3" i="25"/>
  <c r="FO3" i="25"/>
  <c r="FN3" i="25"/>
  <c r="FM3" i="25"/>
  <c r="FL3" i="25"/>
  <c r="FK3" i="25"/>
  <c r="FJ3" i="25"/>
  <c r="FI3" i="25"/>
  <c r="FH3" i="25"/>
  <c r="FG3" i="25"/>
  <c r="FF3" i="25"/>
  <c r="FE3" i="25"/>
  <c r="FD3" i="25"/>
  <c r="FC3" i="25"/>
  <c r="FB3" i="25"/>
  <c r="FA3" i="25"/>
  <c r="EZ3" i="25"/>
  <c r="EY3" i="25"/>
  <c r="EX3" i="25"/>
  <c r="EW3" i="25"/>
  <c r="EV3" i="25"/>
  <c r="EU3" i="25"/>
  <c r="ET3" i="25"/>
  <c r="ES3" i="25"/>
  <c r="ER3" i="25"/>
  <c r="EQ3" i="25"/>
  <c r="EP3" i="25"/>
  <c r="EO3" i="25"/>
  <c r="EN3" i="25"/>
  <c r="EM3" i="25"/>
  <c r="EL3" i="25"/>
  <c r="EK3" i="25"/>
  <c r="EJ3" i="25"/>
  <c r="EI3" i="25"/>
  <c r="EH3" i="25"/>
  <c r="EG3" i="25"/>
  <c r="EF3" i="25"/>
  <c r="EE3" i="25"/>
  <c r="ED3" i="25"/>
  <c r="EC3" i="25"/>
  <c r="EB3" i="25"/>
  <c r="EA3" i="25"/>
  <c r="DZ3" i="25"/>
  <c r="DY3" i="25"/>
  <c r="DX3" i="25"/>
  <c r="DW3" i="25"/>
  <c r="DV3" i="25"/>
  <c r="DU3" i="25"/>
  <c r="DT3" i="25"/>
  <c r="DS3" i="25"/>
  <c r="DR3" i="25"/>
  <c r="DQ3" i="25"/>
  <c r="DP3" i="25"/>
  <c r="DO3" i="25"/>
  <c r="DN3" i="25"/>
  <c r="DM3" i="25"/>
  <c r="DL3" i="25"/>
  <c r="DK3" i="25"/>
  <c r="DJ3" i="25"/>
  <c r="DI3" i="25"/>
  <c r="DH3" i="25"/>
  <c r="DG3" i="25"/>
  <c r="DF3" i="25"/>
  <c r="DE3" i="25"/>
  <c r="DD3" i="25"/>
  <c r="DC3" i="25"/>
  <c r="DB3" i="25"/>
  <c r="DA3"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2" i="25"/>
  <c r="O2" i="25"/>
  <c r="M2" i="25"/>
  <c r="L2" i="25"/>
  <c r="K2" i="25"/>
  <c r="J2" i="25"/>
  <c r="H2" i="25"/>
</calcChain>
</file>

<file path=xl/sharedStrings.xml><?xml version="1.0" encoding="utf-8"?>
<sst xmlns="http://schemas.openxmlformats.org/spreadsheetml/2006/main" count="1985" uniqueCount="717">
  <si>
    <t>工装加工制造图片展示</t>
  </si>
  <si>
    <t>一、夹具加工整体状态</t>
  </si>
  <si>
    <t>项目</t>
  </si>
  <si>
    <t>线体商</t>
  </si>
  <si>
    <t>区域</t>
  </si>
  <si>
    <t>工装类型</t>
  </si>
  <si>
    <t>数量</t>
  </si>
  <si>
    <t>下图</t>
  </si>
  <si>
    <t>加工</t>
  </si>
  <si>
    <t>装配</t>
  </si>
  <si>
    <t>气路配管</t>
  </si>
  <si>
    <t>电气接线</t>
  </si>
  <si>
    <t>三坐标标定</t>
  </si>
  <si>
    <t>钢板间隙</t>
  </si>
  <si>
    <t>活动部件重复性验证</t>
  </si>
  <si>
    <t>电气对点</t>
  </si>
  <si>
    <t>供应商自验收</t>
  </si>
  <si>
    <t>预验收</t>
  </si>
  <si>
    <t>整体状态</t>
  </si>
  <si>
    <t>备注</t>
  </si>
  <si>
    <t>XXX项目</t>
  </si>
  <si>
    <t>必达</t>
  </si>
  <si>
    <t>ER</t>
  </si>
  <si>
    <t>机舱夹具</t>
  </si>
  <si>
    <t>计划完成时间</t>
  </si>
  <si>
    <t>○</t>
  </si>
  <si>
    <t>完成度</t>
  </si>
  <si>
    <t>散工位夹具</t>
  </si>
  <si>
    <t>外委夹具-胜德</t>
  </si>
  <si>
    <t>外委夹具-承昌</t>
  </si>
  <si>
    <t>置台</t>
  </si>
  <si>
    <t>抓手</t>
  </si>
  <si>
    <t>库位</t>
  </si>
  <si>
    <t>转台</t>
  </si>
  <si>
    <t>二、夹具BASE板</t>
  </si>
  <si>
    <r>
      <rPr>
        <sz val="22"/>
        <color theme="1"/>
        <rFont val="宋体"/>
        <charset val="134"/>
      </rPr>
      <t>1、夹具BASE板一共XX套，已加工完成XX套，完成进度100%。</t>
    </r>
    <r>
      <rPr>
        <sz val="11"/>
        <color theme="1"/>
        <rFont val="宋体"/>
        <charset val="134"/>
      </rPr>
      <t xml:space="preserve">
</t>
    </r>
  </si>
  <si>
    <t>三、夹具立柱</t>
  </si>
  <si>
    <r>
      <rPr>
        <sz val="22"/>
        <color theme="1"/>
        <rFont val="宋体"/>
        <charset val="134"/>
      </rPr>
      <t>1、夹具立柱一共XX个，已加工完成XX个， 加工完成100%。</t>
    </r>
    <r>
      <rPr>
        <sz val="11"/>
        <color theme="1"/>
        <rFont val="宋体"/>
        <charset val="134"/>
      </rPr>
      <t xml:space="preserve">
</t>
    </r>
  </si>
  <si>
    <t>四、夹具小件</t>
  </si>
  <si>
    <t>1、夹具小件一共XX个，已加工完成XX个， 加工完成100%</t>
  </si>
  <si>
    <t>五、抓具</t>
  </si>
  <si>
    <t>六、外购件到货情况【气缸、气管、线槽、接头、阀岛等】</t>
  </si>
  <si>
    <t xml:space="preserve"> 七、机器人底座</t>
  </si>
  <si>
    <t xml:space="preserve"> 八、风险点</t>
  </si>
  <si>
    <t>项目进度管理表</t>
  </si>
  <si>
    <t>已完成</t>
  </si>
  <si>
    <t>未启动</t>
  </si>
  <si>
    <t>进行中</t>
  </si>
  <si>
    <t>延期</t>
  </si>
  <si>
    <t>暂停</t>
  </si>
  <si>
    <t>项目开始时间：</t>
  </si>
  <si>
    <t>区域名称</t>
  </si>
  <si>
    <t>类别</t>
  </si>
  <si>
    <t>问题点梳理</t>
  </si>
  <si>
    <t>预估费用</t>
  </si>
  <si>
    <t>负责</t>
  </si>
  <si>
    <t>人数</t>
  </si>
  <si>
    <t>资源协助</t>
  </si>
  <si>
    <t>开始时间</t>
  </si>
  <si>
    <t>结束时间</t>
  </si>
  <si>
    <t>工期</t>
  </si>
  <si>
    <t>完成状态</t>
  </si>
  <si>
    <t>完成进度</t>
  </si>
  <si>
    <t>OA</t>
  </si>
  <si>
    <t>组织架构</t>
  </si>
  <si>
    <t>/</t>
  </si>
  <si>
    <t>1、人员可上传照片头像</t>
  </si>
  <si>
    <t>员工档案</t>
  </si>
  <si>
    <t>一、离职员工
二、未入职员工
三、在职员工
四、薪资维护</t>
  </si>
  <si>
    <r>
      <rPr>
        <b/>
        <sz val="11"/>
        <rFont val="宋体"/>
        <charset val="134"/>
        <scheme val="minor"/>
      </rPr>
      <t>1、离职交接流程 待完成</t>
    </r>
    <r>
      <rPr>
        <b/>
        <sz val="11"/>
        <color rgb="FFFF0000"/>
        <rFont val="宋体"/>
        <charset val="134"/>
        <scheme val="minor"/>
      </rPr>
      <t xml:space="preserve">
2、新增员工转正流程推送、提醒（需加触发器）
3、薪资关联绩效：理想化状态
4、新人入职加入OA形式参考钉钉邀请、扫二维码...</t>
    </r>
  </si>
  <si>
    <t xml:space="preserve">人事提供模版1-2
PHP开发3-4
</t>
  </si>
  <si>
    <t>考勤管理</t>
  </si>
  <si>
    <t>一、考勤统计
二、排班管理
三、排班管理</t>
  </si>
  <si>
    <r>
      <rPr>
        <b/>
        <sz val="11"/>
        <color rgb="FFFF0000"/>
        <rFont val="宋体"/>
        <charset val="134"/>
        <scheme val="minor"/>
      </rPr>
      <t>1、月度统计：参考钉钉格式
2、迟到和早退10分钟次数为2次，超过算迟到和早退
3、半天缺卡：时间为区间
4、规则内必填项要去掉，有选择项
5、考勤定位打卡、无法打卡、补卡跟打卡不关联
6、外出打卡需要关联外出单、出差单
7、加班方式（调休、加班费）
8、所有审批完的单价
9、假期余额（调休自动增减），当年的调休次年2月底清0
10、防作弊（打卡范围、</t>
    </r>
    <r>
      <rPr>
        <b/>
        <strike/>
        <u/>
        <sz val="11"/>
        <color rgb="FFFF0000"/>
        <rFont val="宋体"/>
        <charset val="134"/>
        <scheme val="minor"/>
      </rPr>
      <t>人脸识别</t>
    </r>
    <r>
      <rPr>
        <b/>
        <sz val="11"/>
        <color rgb="FFFF0000"/>
        <rFont val="宋体"/>
        <charset val="134"/>
        <scheme val="minor"/>
      </rPr>
      <t>、常用手机限制）</t>
    </r>
  </si>
  <si>
    <t>PHP开发</t>
  </si>
  <si>
    <t>绩效考核</t>
  </si>
  <si>
    <t>一、员工绩效：
考核记录、考核统计、删除记录
二、考核设置：
考核计划、考核评分、考核流程</t>
  </si>
  <si>
    <t>1、新员工360绩效考核（周、月、季度）
2、员工绩效考核每月提前推送，自评再复评系统自动推送
3、理想化工资与绩效考核关联，自动生成薪资
4、可以导入绩效空白表单，打分结束自动产生金额</t>
  </si>
  <si>
    <t>提供模版
JAVA开发
PHP开发表单</t>
  </si>
  <si>
    <t>职位管理</t>
  </si>
  <si>
    <t xml:space="preserve">一、职位管理
二、职级管理
三、岗位职责
四、职级体系图
五、晋升说明
</t>
  </si>
  <si>
    <t>1、缺少导入功能、以及对应岗位人员需要有签核或者查阅 功能
2、职级管理 待薪酬管理制度发布再同步</t>
  </si>
  <si>
    <t>审批管理</t>
  </si>
  <si>
    <t>一、审批类别
二、审批记录</t>
  </si>
  <si>
    <t>单据缺少目前没有关联性</t>
  </si>
  <si>
    <t>员工培训</t>
  </si>
  <si>
    <t>一、公司介绍
二、组织架构图
三、战略规划</t>
  </si>
  <si>
    <t>汇报管理</t>
  </si>
  <si>
    <t>日报、周报、月报</t>
  </si>
  <si>
    <t>缺少工作分析功能、汇总</t>
  </si>
  <si>
    <t>接入AI Agent</t>
  </si>
  <si>
    <t>企业通讯录</t>
  </si>
  <si>
    <t>行政</t>
  </si>
  <si>
    <t>消耗物资：物资管理
固定资产：电脑台账管理</t>
  </si>
  <si>
    <t>1、领用未设置审批权限</t>
  </si>
  <si>
    <t>其他问题点记录</t>
  </si>
  <si>
    <t>陀螺匠更名--溯智核</t>
  </si>
  <si>
    <t>PHP开发/深圳团队</t>
  </si>
  <si>
    <t>两套数据打通费用</t>
  </si>
  <si>
    <t>两套正式使用开始考虑打通</t>
  </si>
  <si>
    <t>PHP人员费用</t>
  </si>
  <si>
    <t>自家招还是外协</t>
  </si>
  <si>
    <t>更改域名.com</t>
  </si>
  <si>
    <t>立刻执行</t>
  </si>
  <si>
    <t>云服务器费用</t>
  </si>
  <si>
    <t>把APP放商城提高安全性费用</t>
  </si>
  <si>
    <t>人脸识别、钉钉会议、聊天功能后期开发</t>
  </si>
  <si>
    <t>打卡定位费用（50000元/年）</t>
  </si>
  <si>
    <t>采购供应链考核</t>
  </si>
  <si>
    <r>
      <rPr>
        <sz val="11"/>
        <rFont val="宋体"/>
        <charset val="134"/>
        <scheme val="minor"/>
      </rPr>
      <t xml:space="preserve">开发ERP手机端（审批权限及成本时间）
或者考虑接入审批端口 </t>
    </r>
    <r>
      <rPr>
        <sz val="11"/>
        <color rgb="FFFF0000"/>
        <rFont val="宋体"/>
        <charset val="134"/>
        <scheme val="minor"/>
      </rPr>
      <t>后期开发</t>
    </r>
  </si>
  <si>
    <t>功能需求点</t>
  </si>
  <si>
    <t>预估开始时间</t>
  </si>
  <si>
    <t>预估结束时间</t>
  </si>
  <si>
    <t>收料通知单</t>
  </si>
  <si>
    <t xml:space="preserve">1.由上游采购订单直接生成
2.可以一键生成业务凭证 
3.可以列表批量生成凭证
4.可以自行设计oA审批流程,发起OA审批,支持移动端审核，移动端显示表单内信息。且审核完毕后单据自动修改审核
5.销售出库单下推可以生成采购入库单，收料退料单。
</t>
  </si>
  <si>
    <t>备注：当前阶段暂不开发业务凭证</t>
  </si>
  <si>
    <t>开发中</t>
  </si>
  <si>
    <t>采购入库单</t>
  </si>
  <si>
    <t xml:space="preserve">1.由上游采购订单或者收料通知单直接生成
2.可以一键生成业务凭证  借方：原材料      贷方：暂估应付账款
3.可以列表批量生成凭证 
4.可以自行设计oA审批流程,发起OA审批,支持移动端审核，移动端显示表单内信息。且审核完毕后单据自动修改审核
5.可以下推生成应付单，可以列表行选择下推应付单，支持打印对账单
</t>
  </si>
  <si>
    <t>待开发</t>
  </si>
  <si>
    <t>应付单</t>
  </si>
  <si>
    <t xml:space="preserve">1.由上游采购订单或者采购入库单生成
2.可以一键生成业务凭证  借方：暂估应付款  应缴税费     贷方：应付账款
3.可以列表批量生成凭证 
4.可以自行设计oA审批流程,发起OA审批,支持移动端审核，移动端显示表单内信息。且审核完毕后单据自动修改审核
5.可以下推付款申请单
</t>
  </si>
  <si>
    <t>付款申请单</t>
  </si>
  <si>
    <t>1.由上游应付单，或者采购订单下推生成
2.可以自行设计oA审批流程,发起OA审批,支持移动端审核，移动端显示表单内信息。且审核完毕后单据自动修改审核
3.可以下推付款单</t>
  </si>
  <si>
    <t>付款单</t>
  </si>
  <si>
    <t>1.由上游付款申请单下推生成
2.可以自行设计oA审批流程,发起OA审批,支持移动端审核，移动端显示表单内信息。且审核完毕后单据自动修改审核
3可以下推付款单
4.可以一键生成业务凭证  借方：应付账款  贷方：银行存款</t>
  </si>
  <si>
    <t>销售管理</t>
  </si>
  <si>
    <t>销售订单</t>
  </si>
  <si>
    <t xml:space="preserve">1.订单类型选择，销售组织，部门，销售员，客户选择，关联收款条件，有物料编码，关联项目号等具体信息
2.关联上下游单据，可以生成采购申请单，采购订单，发货通知单，收款单，收款确认单，委外订单，生产订单，发票，组装拆卸单，销售出库单等
3.体现交货明细，交货时间，逾期到期有每日提醒功能。
4.财务明细体现单价，明细，折扣金额，折扣率，税率，币别，收款计划等信息。
5.按收款比例，或者收款金额下推预付款收款单。
6.可以业务查询，关联当前物料的历史销售订单查询历史最低价，关联历史出库价格，计算出当前产品的毛利润，可以查询即时库存，如仓库存在库存，可以提前锁库。支持上传附件
7.支持订单变更操作.可以修改价格数量.物料等信息.能支持新增行删除行，且变更后，需填写备注，能再原单上提现变更原因，
8.可以自行设计oA审批流程,发起OA审批,支持移动端审核，移动端显示表单内信息。且审核完毕后单据自动修改审核状态
9.下推销售出库后，体现该单据的行状态，自动关闭（能关联下游单据体现收款执行明细情况）
</t>
  </si>
  <si>
    <t>销售出库单</t>
  </si>
  <si>
    <r>
      <rPr>
        <sz val="11"/>
        <color theme="1"/>
        <rFont val="宋体"/>
        <charset val="134"/>
        <scheme val="minor"/>
      </rPr>
      <t xml:space="preserve">1.由上游销售订单直接生成，关联仓库库存，可以匹配库存，自动关联仓库，仓位
2.可以一键生成业务凭证 </t>
    </r>
    <r>
      <rPr>
        <b/>
        <sz val="11"/>
        <color theme="1"/>
        <rFont val="宋体"/>
        <charset val="134"/>
        <scheme val="minor"/>
      </rPr>
      <t>配件类的</t>
    </r>
    <r>
      <rPr>
        <sz val="11"/>
        <color theme="1"/>
        <rFont val="宋体"/>
        <charset val="134"/>
        <scheme val="minor"/>
      </rPr>
      <t xml:space="preserve"> </t>
    </r>
    <r>
      <rPr>
        <b/>
        <sz val="11"/>
        <color theme="1"/>
        <rFont val="宋体"/>
        <charset val="134"/>
        <scheme val="minor"/>
      </rPr>
      <t>借方：主营业务    配件类成本 应收账款   贷方：是主营业务收入 原材料 应缴税费.
                     设备类的 借方：发出商品    贷方：库存商品（过度） 确认收入后再结转成本
3.可以列表批量生成凭证
4.可以自行设计oA审批流程,发起OA审批,支持移动端审核，移动端显示表单内信息。且审核完毕后单据自动修改审核
5.销售出库单下推可以生成开票申请单 ，销退货单，关联即时库存。
6.可以自行设计oA审批流程,发起OA审批,支持移动端审核，移动端显示表单内信息。
7.可以业务查询，关联当前物料的历史销售订单查询历史最低价，关联历史出库价格</t>
    </r>
  </si>
  <si>
    <t>应收单</t>
  </si>
  <si>
    <t xml:space="preserve">1.由上游销售订单和销售出库单生成
2.可以一键生成业务凭证 
3.可以列表批量生成凭证 
4.可以自行设计oA审批流程,发起OA审批,支持移动端审核，移动端显示表单内信息。且审核完毕后单据自动修改审核
5.可以下推收款单
</t>
  </si>
  <si>
    <t>收款单</t>
  </si>
  <si>
    <t xml:space="preserve">1.由上游销售订单和销售出库单生成
2.可以一键生成业务凭证 
3.可以列表批量生成凭证 
4.可以自行设计oA审批流程,发起OA审批,支持移动端审核，移动端显示表单内信息。且审核完毕后单据自动修改审核
</t>
  </si>
  <si>
    <t>采购申请单</t>
  </si>
  <si>
    <r>
      <rPr>
        <sz val="11"/>
        <color theme="1"/>
        <rFont val="宋体"/>
        <charset val="134"/>
        <scheme val="minor"/>
      </rPr>
      <t>1.通过现有的需求表.EXCEL格式的,直接导入创建物料，创建以项目号为父项的一级，或者多级BOM
2.采购申请单关联即时库存.如仓库存在规格型号一致的物料，申请单自动扣减数量
3.加工件付有核价功能，表格导入时要带入，体现需求到货日期，可以选择建议供应商管理供应商字段
4.标准件，体现需求到货日期。
5.可以体现审核状态，当前审核人，审核流程，可以关联收料通知，体现到货数量，</t>
    </r>
    <r>
      <rPr>
        <sz val="11"/>
        <color rgb="FFFF0000"/>
        <rFont val="宋体"/>
        <charset val="134"/>
        <scheme val="minor"/>
      </rPr>
      <t>到货日期</t>
    </r>
    <r>
      <rPr>
        <sz val="11"/>
        <color theme="1"/>
        <rFont val="宋体"/>
        <charset val="134"/>
        <scheme val="minor"/>
      </rPr>
      <t>，未到货数量，收料数量，未收料数量，（</t>
    </r>
    <r>
      <rPr>
        <sz val="11"/>
        <color rgb="FFFF0000"/>
        <rFont val="宋体"/>
        <charset val="134"/>
        <scheme val="minor"/>
      </rPr>
      <t xml:space="preserve">收料日期）
</t>
    </r>
    <r>
      <rPr>
        <sz val="11"/>
        <rFont val="宋体"/>
        <charset val="134"/>
        <scheme val="minor"/>
      </rPr>
      <t>6.可以下推采购订单.通过列表选择物料合并下推采购订单，且有下游单据且审核后，当前申请单自动关闭
7.采购申请单可以通过单据各字段筛选申请单执行明细表以及汇总表，且同时支持2个条件同时筛选，可以定制化条件。
8.自动生成采购申请单编号，且可以选择采购申请单类型，如标准采购申请，费用采购申请，固资采购申请等
9.可以自行设计oA审批流程,发起OA审批,支持移动端审核，移动端显示表单内信息。且审核完毕后单据自动修改审核状态</t>
    </r>
  </si>
  <si>
    <t>物料管理（物料单位，通过零件名称和规格型号来判断对应物料，物料种类多级分组，种类有加工件，标准件还有其他（如服务）三种分类，加工件下又分类为方件.原件等多种件，要可以自建种类</t>
  </si>
  <si>
    <t>产品BOM（设计exel模板，模板可供下载后，录入数据后的模块生成BOM.采购申请单.物料三个部分的数据</t>
  </si>
  <si>
    <t>库存现有量模块开发，当仓库存在物料名称和规格型号一致且未被占用的物料时，申请单自动扣减数量。</t>
  </si>
  <si>
    <r>
      <rPr>
        <sz val="10.5"/>
        <color theme="1"/>
        <rFont val="宋体"/>
        <charset val="134"/>
      </rPr>
      <t>采购申请单上新增核价字段，新增建议供应商字段（关联供应商模块）。在标准件</t>
    </r>
    <r>
      <rPr>
        <sz val="10.5"/>
        <color theme="1"/>
        <rFont val="Calibri"/>
      </rPr>
      <t>/</t>
    </r>
    <r>
      <rPr>
        <sz val="10.5"/>
        <color theme="1"/>
        <rFont val="宋体"/>
        <charset val="134"/>
      </rPr>
      <t>加工件申请单上要有需求日期，实际到货日期在入库单上。</t>
    </r>
  </si>
  <si>
    <r>
      <rPr>
        <sz val="10.5"/>
        <color theme="1"/>
        <rFont val="宋体"/>
        <charset val="134"/>
      </rPr>
      <t>逾期预警（已经逾期了多少天给的预警），到期预警（距离需求日期</t>
    </r>
    <r>
      <rPr>
        <sz val="10.5"/>
        <color theme="1"/>
        <rFont val="Calibri"/>
      </rPr>
      <t>2-3</t>
    </r>
    <r>
      <rPr>
        <sz val="10.5"/>
        <color theme="1"/>
        <rFont val="宋体"/>
        <charset val="134"/>
      </rPr>
      <t>天给的预警）</t>
    </r>
  </si>
  <si>
    <t>采购申请单要具备审核状态和关闭状态（下订单后采购订单已审核后关闭）</t>
  </si>
  <si>
    <t>关联收料通知单在列表体现到货数量，到货日期，未到货数量，收料数量，未收料数量，（收料日期）（多表联合查询，在采购申请单中需要收料通知单还有入库单的字段）//需要先开发完收料通知单</t>
  </si>
  <si>
    <t>采购申请单生成采购订单使用下推方式（判断条件：单据状态已审核，关闭状态未关闭），不同项目的采购申请单可以一起下推生成一条采购订单给到一个供应商</t>
  </si>
  <si>
    <t>自动生成采购申请单编号，且可以选择采购申请单类型，如标准采购申请，费用采购申请，固资采购申请等</t>
  </si>
  <si>
    <t>通过单据字段筛选采购申请单执行明细表以及采购申请单执行汇总表（所有单据数据），可最多支持3个条件同时筛选//需要开发完所有单据后再开发</t>
  </si>
  <si>
    <t>后期开发</t>
  </si>
  <si>
    <t>移动端可做审批流程的审批，申请单相关信息要可以在移动端上可以看到，审批流程应当有其对应的通知。</t>
  </si>
  <si>
    <t>采购订单</t>
  </si>
  <si>
    <r>
      <rPr>
        <sz val="11"/>
        <color theme="1"/>
        <rFont val="宋体"/>
        <charset val="134"/>
        <scheme val="minor"/>
      </rPr>
      <t>1.由上游申请单直接生成，订单类型区分标准采购，固资采购，加工件采购，标准件采购等
2.加工件 有核价功能，标准件可以获取近一年的改物料的历史最低价，</t>
    </r>
    <r>
      <rPr>
        <b/>
        <sz val="11"/>
        <color theme="1"/>
        <rFont val="宋体"/>
        <charset val="134"/>
        <scheme val="minor"/>
      </rPr>
      <t xml:space="preserve">
3.体现需求人，交货安排，付款计划，付款执行明细，可以查询关联单据，已付金额，未付金额，业务日期等
4.可以自行设计oA审批流程,发起OA审批,支持移动端审核，移动端显示表单内信息。且审核完毕后单据自动修改审核
5.采购订单下推可以生成预付款的付款申请，卡控只能预付款的金额才可以下推付款申请，采购入库，收料通知
6.查询交货安排，逾期预警通知手机端客户端，关联下游单据体现付款执行情况
7.支持订单变更操作.可以修改价格数量.物料等信息.能支持新增行删除行，且变更后，需填写备注，能再原单上提现变更原因，</t>
    </r>
  </si>
  <si>
    <t>预估开始时间和预估结束时间仅为预估，开发中功能具体先后排序需在开发过程中具体讨论，本表中所估仅为估量，一切以实际开发时间为准</t>
  </si>
  <si>
    <t>XXX项目工装设备开发进度管理表——机舱</t>
  </si>
  <si>
    <t>序号</t>
  </si>
  <si>
    <t>安全分区</t>
  </si>
  <si>
    <t>工位</t>
  </si>
  <si>
    <t>设备编号</t>
  </si>
  <si>
    <t>设备名称</t>
  </si>
  <si>
    <t>界面</t>
  </si>
  <si>
    <t>主包/分包</t>
  </si>
  <si>
    <t>设备类别</t>
  </si>
  <si>
    <t>设计人员</t>
  </si>
  <si>
    <t>加工单元数</t>
  </si>
  <si>
    <t>问题整改状态</t>
  </si>
  <si>
    <t>计划下图时间</t>
  </si>
  <si>
    <t>下图完成比例</t>
  </si>
  <si>
    <t>计划加工完成时间</t>
  </si>
  <si>
    <t>加工完成比例</t>
  </si>
  <si>
    <t>计划发黑/油漆时间</t>
  </si>
  <si>
    <t>发黑/油漆完成比例</t>
  </si>
  <si>
    <t>计划组装时间</t>
  </si>
  <si>
    <t>组装完成比咧</t>
  </si>
  <si>
    <t>计划气路配管时间</t>
  </si>
  <si>
    <t>计划气路配管完成比例</t>
  </si>
  <si>
    <t>计划电气接线时间</t>
  </si>
  <si>
    <t>实际电气接线完成比例</t>
  </si>
  <si>
    <t>计划三坐标标定时间</t>
  </si>
  <si>
    <t>实际三坐标标定完成比例</t>
  </si>
  <si>
    <t>计划钢板间隙完成时间</t>
  </si>
  <si>
    <t>实际钢板间隙完成比例</t>
  </si>
  <si>
    <t>计划电气对点时间</t>
  </si>
  <si>
    <t>实际电气对点完成比例</t>
  </si>
  <si>
    <t>计划供应商自验收时间</t>
  </si>
  <si>
    <t>供应商自验收是否完成</t>
  </si>
  <si>
    <t>具备预验条件时间</t>
  </si>
  <si>
    <t>是否具备预验条件</t>
  </si>
  <si>
    <t>发货时间</t>
  </si>
  <si>
    <t>BP-60-T1J-ER010-1-HB01</t>
  </si>
  <si>
    <t>人工塌台</t>
  </si>
  <si>
    <t>否</t>
  </si>
  <si>
    <t>BP-60-T1J-ER010-1-TH01L</t>
  </si>
  <si>
    <t>左纵梁吊具</t>
  </si>
  <si>
    <t>BP-60-T1J-ER010-1-TH01R</t>
  </si>
  <si>
    <t>右纵梁吊具</t>
  </si>
  <si>
    <t>BP-60-T1J-ER010-1-STP01</t>
  </si>
  <si>
    <t>钢结构</t>
  </si>
  <si>
    <t>BP-60-T1J-4001A/B</t>
  </si>
  <si>
    <t>机舱分总成定位焊夹具</t>
  </si>
  <si>
    <t>夹具</t>
  </si>
  <si>
    <t>BP-60-T1J-ER010-R01-GUS01</t>
  </si>
  <si>
    <t>固定焊枪支架</t>
  </si>
  <si>
    <t>BP-60-T1J-ER010-R03-GR01</t>
  </si>
  <si>
    <t>机舱分总成搬运抓手</t>
  </si>
  <si>
    <t>BP-60-T1J-ER010-TT01</t>
  </si>
  <si>
    <t>两面体转台</t>
  </si>
  <si>
    <t>转台框架</t>
  </si>
  <si>
    <t>BP-60-T1J-ER010-SLT01</t>
  </si>
  <si>
    <t>滑台</t>
  </si>
  <si>
    <t>机器人底座</t>
  </si>
  <si>
    <t>BP-60-T1J-ER015-R01-GR01</t>
  </si>
  <si>
    <t>BP-60-T1J-ER015-ST01</t>
  </si>
  <si>
    <t>过渡置台</t>
  </si>
  <si>
    <t>BP-60-T1J-ER015-R01-GS01</t>
  </si>
  <si>
    <t>涂胶枪支架</t>
  </si>
  <si>
    <t>BP-60-T1J-ER015-R01-GUS01</t>
  </si>
  <si>
    <t>BP-60-T1J-ER015-R01-RT01</t>
  </si>
  <si>
    <t>机器人行走轴架台</t>
  </si>
  <si>
    <t>BP-60-T1J-4002</t>
  </si>
  <si>
    <t>BP-60-T1J-ER020-APC01</t>
  </si>
  <si>
    <t>APC-前围板</t>
  </si>
  <si>
    <t>BP-60-T1J-ER020-R03-GR01</t>
  </si>
  <si>
    <t>前围板定位抓手</t>
  </si>
  <si>
    <t>定位抓手docking机构</t>
  </si>
  <si>
    <t>BP-60-T1J-ER020-R01-GUS01</t>
  </si>
  <si>
    <t>焊钳存放架</t>
  </si>
  <si>
    <t>BP-60-T1J-ER020-FCS01</t>
  </si>
  <si>
    <t>BP-60-T1J-ER025-ST01</t>
  </si>
  <si>
    <t>机舱分总成过渡置台</t>
  </si>
  <si>
    <t>BP-60-T1J-ER025-R01-GR01</t>
  </si>
  <si>
    <t>BP-60-T1J-ER025-R01-GUS01</t>
  </si>
  <si>
    <t>BP-60-T1J-ER030-R01-GS01</t>
  </si>
  <si>
    <t>BP-60-T1J-ER030-R01-GR01</t>
  </si>
  <si>
    <t>BP-60-T1J-ER030-R01-GUS01</t>
  </si>
  <si>
    <t>BP-60-T1J-ER030-R01-RT01</t>
  </si>
  <si>
    <t>BP-60-T1J-4003</t>
  </si>
  <si>
    <t>地面精定位机构</t>
  </si>
  <si>
    <t>BP-60-T1J-ER040-PPT01</t>
  </si>
  <si>
    <t>精定位料框</t>
  </si>
  <si>
    <t>BP-60-T1J-ER040-R03-GR01</t>
  </si>
  <si>
    <t>流水槽定位抓手</t>
  </si>
  <si>
    <t>BP-60-T1J-ER040-R01-GUS01</t>
  </si>
  <si>
    <t>BP-60-T1J-ER040-R01-RT01</t>
  </si>
  <si>
    <t>BP-60-T1J-ER040-FCS01</t>
  </si>
  <si>
    <t>BP-60-T1J-ER045-R01-GR01</t>
  </si>
  <si>
    <t>BP-60-T1J-ER045-R01-GUS01</t>
  </si>
  <si>
    <t>BP-60-T1J-ER045-R01-RT01</t>
  </si>
  <si>
    <t>BP-60-T1J-4004</t>
  </si>
  <si>
    <t>机舱总成定位焊夹具</t>
  </si>
  <si>
    <t>BP-60-T1J-ER050-R03-GR01</t>
  </si>
  <si>
    <t>机舱边板定位抓手</t>
  </si>
  <si>
    <t>BP-60-T1J-ER050-R01-GUS01</t>
  </si>
  <si>
    <t>BP-60-T1J-ER050-R01-GUS02</t>
  </si>
  <si>
    <t>BP-60-T1J-ER050-PPT01L</t>
  </si>
  <si>
    <t>BP-60-T1J-ER050-PPT01R</t>
  </si>
  <si>
    <t>BP-60-T1J-ER050-FCS01</t>
  </si>
  <si>
    <t>BP-60-T1J-ER055-R01-GR01</t>
  </si>
  <si>
    <t>BP-60-T1J-ER055-R01-GUS01</t>
  </si>
  <si>
    <t>BP-60-T1J-ER055-R01-RT01</t>
  </si>
  <si>
    <t>BP-60-T1J-4005</t>
  </si>
  <si>
    <t>机舱分总成补焊夹具</t>
  </si>
  <si>
    <t>BP-60-T1J-ER060-R01-GUS01</t>
  </si>
  <si>
    <t>BP-60-T1J-ER060-R01-GUS02</t>
  </si>
  <si>
    <t>BP-60-T1J-ER060-R01-GUS03</t>
  </si>
  <si>
    <t>BP-60-T1J-ER060-R01-GUS04</t>
  </si>
  <si>
    <t>BP-60-T1J-ER065-R01-GR01</t>
  </si>
  <si>
    <t>BP-60-T1J-ER065-R01-GUS01</t>
  </si>
  <si>
    <t>BP-60-T1J-4006</t>
  </si>
  <si>
    <t>机舱螺柱焊夹具</t>
  </si>
  <si>
    <t>BP-60-T1J-ER070-R01-SHW01</t>
  </si>
  <si>
    <t>螺柱焊悬挂机构</t>
  </si>
  <si>
    <t>BP-60-T1J-ER080-R01-GR01</t>
  </si>
  <si>
    <t>机舱总成搬运抓手</t>
  </si>
  <si>
    <t>BP-60-T1J-ER080-ST01</t>
  </si>
  <si>
    <t>BP-60-T1J-ER080-R01-SHW01</t>
  </si>
  <si>
    <t>固定植钉枪支架</t>
  </si>
  <si>
    <t>BP-60-T1J-ER090-APC01</t>
  </si>
  <si>
    <t>机舱总成空中输送APC</t>
  </si>
  <si>
    <t>BP-60-T1J-ER090-ERT01A/B</t>
  </si>
  <si>
    <t>螺柱检查台</t>
  </si>
  <si>
    <t>BP-60-T1J-ER090-R01-GUS01</t>
  </si>
  <si>
    <t>固定弧焊枪支架</t>
  </si>
  <si>
    <t>BP-60-T1J-ER090-HB01</t>
  </si>
  <si>
    <t>BP-60-T1J-ER090-PPT01</t>
  </si>
  <si>
    <t>下线下车</t>
  </si>
  <si>
    <t>BP-60-T1J-ER090-R01-GR01</t>
  </si>
  <si>
    <t>BP-60-T1J-ER090-R01-RT01</t>
  </si>
  <si>
    <t>BP-60-T1J-4111</t>
  </si>
  <si>
    <t>定位焊夹具</t>
  </si>
  <si>
    <t>BP-60-T1J-4112</t>
  </si>
  <si>
    <t>BP-60-T1J-ER001-L-R01-GR01</t>
  </si>
  <si>
    <t>搬运抓手</t>
  </si>
  <si>
    <t>BP-60-T1J-ER001-L-R01-GUS01</t>
  </si>
  <si>
    <t>固定焊钳支架</t>
  </si>
  <si>
    <t>BP-60-T1J-ER001-L-ST01</t>
  </si>
  <si>
    <t>BP-60-T1J-4211</t>
  </si>
  <si>
    <t>BP-60-T1J-4212</t>
  </si>
  <si>
    <t>BP-60-T1J-ER001-R-R01-GR01</t>
  </si>
  <si>
    <t>BP-60-T1J-ER001-R-R01-GUS01</t>
  </si>
  <si>
    <t>BP-60-T1J-ER001-R-ST01</t>
  </si>
  <si>
    <t>BP-60-T1J-4113+4130</t>
  </si>
  <si>
    <t>BP-60-T1J-4114</t>
  </si>
  <si>
    <t>精定位机构</t>
  </si>
  <si>
    <t>BP-60-T1J-ER002-L-ST01</t>
  </si>
  <si>
    <t>BP-60-T1J-ER002-L-ST02</t>
  </si>
  <si>
    <t>BP-60-T1J-4115+4128</t>
  </si>
  <si>
    <t>BP-60-T1J-4116</t>
  </si>
  <si>
    <t>BP-60-T1J-ER003-L-ST01</t>
  </si>
  <si>
    <t>BP-60-T1J-ER003-L-PT01</t>
  </si>
  <si>
    <t>无动力输送机构</t>
  </si>
  <si>
    <t>BP-60-T1J-4213+4230</t>
  </si>
  <si>
    <t>BP-60-T1J-4214</t>
  </si>
  <si>
    <t>BP-60-T1J-ER002-R-ST01</t>
  </si>
  <si>
    <t>BP-60-T1J-ER002-R-ST02</t>
  </si>
  <si>
    <t>BP-60-T1J-4215+4228</t>
  </si>
  <si>
    <t>BP-60-T1J-4216</t>
  </si>
  <si>
    <t>BP-60-T1J-ER003-R-ST01</t>
  </si>
  <si>
    <t>BP-60-T1J-ER003-R-PT01</t>
  </si>
  <si>
    <t>BP-60-T1J-4117+4118+4127</t>
  </si>
  <si>
    <t>BP-60-T1J-4119+4120</t>
  </si>
  <si>
    <t>BP-60-T1J-ER006-L-R01-GUS01</t>
  </si>
  <si>
    <t>BP-60-T1J-ER006-L-R01-GR01</t>
  </si>
  <si>
    <t>BP-60-T1J-ER006-L-ST01</t>
  </si>
  <si>
    <t>BP-60-T1J-ER006-L-PT01</t>
  </si>
  <si>
    <t>BP-60-T1J-4217+4218+4227</t>
  </si>
  <si>
    <t>BP-60-T1J-4219+4220</t>
  </si>
  <si>
    <t>BP-60-T1J-ER006-R-R01-GUS01</t>
  </si>
  <si>
    <t>BP-60-T1J-ER006-R-R01-GR01</t>
  </si>
  <si>
    <t>BP-60-T1J-ER006-R-ST01</t>
  </si>
  <si>
    <t>BP-60-T1J-ER006-R-PT01</t>
  </si>
  <si>
    <t>BP-60-T1J-4121+4129</t>
  </si>
  <si>
    <t>BP-60-T1J-4122</t>
  </si>
  <si>
    <t>BP-60-T1J-ER007-L-ST01</t>
  </si>
  <si>
    <t>BP-60-T1J-ER007-L-PT01</t>
  </si>
  <si>
    <t>BP-60-T1J-4221+4229</t>
  </si>
  <si>
    <t>BP-60-T1J-4222</t>
  </si>
  <si>
    <t>BP-60-T1J-ER007-R-ST01</t>
  </si>
  <si>
    <t>BP-60-T1J-ER007-R-PT01</t>
  </si>
  <si>
    <t>BP-60-T1J-8107</t>
  </si>
  <si>
    <t>BP-60-T1J-8207</t>
  </si>
  <si>
    <t>BP-60-T1J-4124+4125+4126+4127</t>
  </si>
  <si>
    <t>BP-60-T1J-4224+4225+4226+4227</t>
  </si>
  <si>
    <t>BP-60-T1J-ER009-ST01L</t>
  </si>
  <si>
    <t>BP-60-T1J-ER009-ST01R</t>
  </si>
  <si>
    <t>BP-60-T1J-4301+4302</t>
  </si>
  <si>
    <t>2023/3/13BASE下图</t>
  </si>
  <si>
    <t>BP-60-T1J-4303</t>
  </si>
  <si>
    <t>BP-60-T1J-FW001-L-R01-GUS01</t>
  </si>
  <si>
    <t>BP-60-T1J-FW001-L-R01-GR01</t>
  </si>
  <si>
    <t>BP-60-T1J-FW001-L-ST01</t>
  </si>
  <si>
    <t>BP-60-T1J-FW001-L-PT01</t>
  </si>
  <si>
    <t>BP-60-T1J-4401+4402</t>
  </si>
  <si>
    <t>BP-60-T1J-4403</t>
  </si>
  <si>
    <t>BP-60-T1J-FW001-R-R01-GUS01</t>
  </si>
  <si>
    <t>BP-60-T1J-FW001-R-R01-GR01</t>
  </si>
  <si>
    <t>BP-60-T1J-FW001-R-ST01</t>
  </si>
  <si>
    <t>BP-60-T1J-FW001-R-PT01</t>
  </si>
  <si>
    <t>BP-60-T1J-4101</t>
  </si>
  <si>
    <t>BP-60-T1J-FR010-L-R01-GR01</t>
  </si>
  <si>
    <t>BP-60-T1J-FR010-L-R01-GUS01</t>
  </si>
  <si>
    <t>BP-60-T1J-4102</t>
  </si>
  <si>
    <t>BP-60-T1J-FR030-L-R01-GR01</t>
  </si>
  <si>
    <t>BP-60-T1J-FR030-L-R01-GUS01</t>
  </si>
  <si>
    <t>BP-60-T1J-4103</t>
  </si>
  <si>
    <t>BP-60-T1J-FR050-L-R01-GR01</t>
  </si>
  <si>
    <t>BP-60-T1J-FR050-L-ST01</t>
  </si>
  <si>
    <t>BP-60-T1J-FR050-L-R01-GUS01</t>
  </si>
  <si>
    <t>BP-60-T1J-FR060-L-R01-GR01</t>
  </si>
  <si>
    <t>料框</t>
  </si>
  <si>
    <t>BP-60-T1J-FR060-L-PPT01</t>
  </si>
  <si>
    <t>BP-60-T1J-FR060-L-R01-GUS01</t>
  </si>
  <si>
    <t>BP-60-T1J-4201</t>
  </si>
  <si>
    <t>BP-60-T1J-FR010-R-R01-GR01</t>
  </si>
  <si>
    <t>BP-60-T1J-FR010-R-R01-GUS01</t>
  </si>
  <si>
    <t>BP-60-T1J-4202</t>
  </si>
  <si>
    <t>BP-60-T1J-FR030-R-R01-GR01</t>
  </si>
  <si>
    <t>BP-60-T1J-FR030-R-R01-GUS01</t>
  </si>
  <si>
    <t>BP-60-T1J-4203</t>
  </si>
  <si>
    <t>BP-60-T1J-FR050-R-R01-GR01</t>
  </si>
  <si>
    <t>BP-60-T1J-FR050-R-ST01</t>
  </si>
  <si>
    <t>BP-60-T1J-FR050-R-R01-GUS01</t>
  </si>
  <si>
    <t>BP-60-T1J-FR060-R-R01-GR01</t>
  </si>
  <si>
    <t>BP-60-T1J-FR060-R-PPT01</t>
  </si>
  <si>
    <t>BP-60-T1J-FR060-R-R01-GUS01</t>
  </si>
  <si>
    <t>BP_60_T1J_5121</t>
  </si>
  <si>
    <t>BP_60_T1J_5221</t>
  </si>
  <si>
    <t>BP-60-T1J-PS10-R-ST01</t>
  </si>
  <si>
    <t>BP-60-T1J-PS10-L-GT01</t>
  </si>
  <si>
    <t>涂胶置台</t>
  </si>
  <si>
    <t>BP-60-T1J-PS10-R-GT01</t>
  </si>
  <si>
    <t>BP_60_T1J_5122</t>
  </si>
  <si>
    <t>BP-60-T1J-PS20-L-ST01</t>
  </si>
  <si>
    <t>BP_60_T1J_5222</t>
  </si>
  <si>
    <t>BP_60_T1J_5223</t>
  </si>
  <si>
    <t>BP-60-T1J-PS20-R-ST01</t>
  </si>
  <si>
    <t>BP-60-T1J-PS20-R-ST03A/B</t>
  </si>
  <si>
    <t>下件置台</t>
  </si>
  <si>
    <t>BP-60-T1J-PS020-R-R03-GR01</t>
  </si>
  <si>
    <t>BP-60-T1J-PS020-R-R03-GUS01</t>
  </si>
  <si>
    <t>BP-60-T1J-RF10-7001</t>
  </si>
  <si>
    <t>后地板骨架总成夹具</t>
  </si>
  <si>
    <t>BP-T1J-RF20-7003</t>
  </si>
  <si>
    <t>后地板总成扣合夹具（带夹紧）</t>
  </si>
  <si>
    <t>BP-60-T1J-RF30-7005</t>
  </si>
  <si>
    <t>后地板总成一序夹具</t>
  </si>
  <si>
    <t>BP-60-T1J-RF40-7006</t>
  </si>
  <si>
    <t>后地板总成二序夹具</t>
  </si>
  <si>
    <t>BP-60-T1J-RF50-7007</t>
  </si>
  <si>
    <t>后地板总成三序夹具</t>
  </si>
  <si>
    <t>BP-60-T1J-7011</t>
  </si>
  <si>
    <t>后地板总成螺柱焊夹具</t>
  </si>
  <si>
    <t>BP-60-T1J-7012</t>
  </si>
  <si>
    <t>中地板总成一序夹具</t>
  </si>
  <si>
    <t>BP-60-T1J-7013</t>
  </si>
  <si>
    <t>中地板总成二序夹具</t>
  </si>
  <si>
    <t>BP-60-T1J-7014</t>
  </si>
  <si>
    <t>中地板总成三序夹具</t>
  </si>
  <si>
    <t>BP-60-T1J-7015</t>
  </si>
  <si>
    <t>中地板横梁本体总成一序夹具</t>
  </si>
  <si>
    <t>BP-60-T1J-7016</t>
  </si>
  <si>
    <t>中地板横梁本体总成二序夹具</t>
  </si>
  <si>
    <t>BP-60-T1J-7017</t>
  </si>
  <si>
    <t>中地板横梁本体分总成夹具</t>
  </si>
  <si>
    <t>BP-60-T1J-7018</t>
  </si>
  <si>
    <t>中地板本体总成一序夹具</t>
  </si>
  <si>
    <t>BP-60-T1J-7019</t>
  </si>
  <si>
    <t>中地板本体总成二序夹具</t>
  </si>
  <si>
    <t>BP-60-T1J-7021</t>
  </si>
  <si>
    <t>中地板上横梁总成一序夹具</t>
  </si>
  <si>
    <t>BP-60-T1J-7022</t>
  </si>
  <si>
    <t>中地板上横梁总成二序夹具</t>
  </si>
  <si>
    <t>BP-60-T1J-7023</t>
  </si>
  <si>
    <t>后地板本体总成一序夹具</t>
  </si>
  <si>
    <t>BP-60-T1J-7024</t>
  </si>
  <si>
    <t>后地板本体总成二序夹具</t>
  </si>
  <si>
    <t>BP-60-T1J-7025</t>
  </si>
  <si>
    <t>后地板本体总成三序夹具</t>
  </si>
  <si>
    <t>BP-60-T1J-7026</t>
  </si>
  <si>
    <t>后地板本体总成四序夹具</t>
  </si>
  <si>
    <t>BP-60-T1J-7028+7114+7214</t>
  </si>
  <si>
    <t>座椅安装加强板总成</t>
  </si>
  <si>
    <t>BP-60-T1J-7101</t>
  </si>
  <si>
    <t>左后纵梁前部总成一序</t>
  </si>
  <si>
    <t>BP-60-T1J-7102</t>
  </si>
  <si>
    <t>左后纵梁前部总成二序</t>
  </si>
  <si>
    <t>BP-60-T1J-7103</t>
  </si>
  <si>
    <t>左后纵梁前部总成三序</t>
  </si>
  <si>
    <t>BP-60-T1J-7104</t>
  </si>
  <si>
    <t>左后纵梁前部总成四序</t>
  </si>
  <si>
    <t>BP-60-T1J-7105</t>
  </si>
  <si>
    <t>左后纵梁前部总成五序</t>
  </si>
  <si>
    <t>BP-60-T1J-7106</t>
  </si>
  <si>
    <t>左后纵梁前部总成六序</t>
  </si>
  <si>
    <t>BP-60-T1J-7107</t>
  </si>
  <si>
    <t>左后纵梁前部总成七序</t>
  </si>
  <si>
    <t>BP-60-T1J-7108</t>
  </si>
  <si>
    <t>左后纵梁前部总成八序</t>
  </si>
  <si>
    <t>BP-60-T1J-7109</t>
  </si>
  <si>
    <t>左后纵梁前部总成九序</t>
  </si>
  <si>
    <t>BP-60-T1J-7110</t>
  </si>
  <si>
    <t>左后纵梁前部总成十序</t>
  </si>
  <si>
    <t>BP-60-T1J-7111</t>
  </si>
  <si>
    <t>左后纵梁前部总成弧焊夹具</t>
  </si>
  <si>
    <t>BP-60-T1J-7112+7113</t>
  </si>
  <si>
    <t>左后纵梁后部总成一序</t>
  </si>
  <si>
    <t>BP-60-T1J-7115+7116+7117+7119+7218</t>
  </si>
  <si>
    <t>左后副车架安装后固定板总成弧焊夹具</t>
  </si>
  <si>
    <t xml:space="preserve">BP-60-T1J-7201
</t>
  </si>
  <si>
    <t>右后纵梁前部总成一序</t>
  </si>
  <si>
    <t xml:space="preserve">BP-60-T1J-7202
</t>
  </si>
  <si>
    <t>右后纵梁前部总成二序</t>
  </si>
  <si>
    <t xml:space="preserve">BP-60-T1J-7203
</t>
  </si>
  <si>
    <t>右后纵梁前部总成三序</t>
  </si>
  <si>
    <t xml:space="preserve">BP-60-T1J-7204
</t>
  </si>
  <si>
    <t>右后纵梁前部总成四序</t>
  </si>
  <si>
    <t xml:space="preserve">BP-60-T1J-7205
</t>
  </si>
  <si>
    <t>右后纵梁前部总成五序</t>
  </si>
  <si>
    <t xml:space="preserve">BP-60-T1J-7206
</t>
  </si>
  <si>
    <t>右后纵梁前部总成六序</t>
  </si>
  <si>
    <t xml:space="preserve">BP-60-T1J-7207
</t>
  </si>
  <si>
    <t>右后纵梁前部总成七序</t>
  </si>
  <si>
    <t xml:space="preserve">BP-60-T1J-7208
</t>
  </si>
  <si>
    <t>右后纵梁前部总成八序</t>
  </si>
  <si>
    <t xml:space="preserve">BP-60-T1J-7209
</t>
  </si>
  <si>
    <t>右后纵梁前部总成九序</t>
  </si>
  <si>
    <t xml:space="preserve">BP-60-T1J-7210
</t>
  </si>
  <si>
    <t>右后纵梁前部总成十序</t>
  </si>
  <si>
    <t>BP-60-T1J-7211</t>
  </si>
  <si>
    <t>右后纵梁前部总成弧焊夹具</t>
  </si>
  <si>
    <t>BP-60-T1J-7212</t>
  </si>
  <si>
    <t>右后纵梁后部总成一序</t>
  </si>
  <si>
    <t>BP-60-T1J-7213</t>
  </si>
  <si>
    <t>右后纵梁后部总成二序</t>
  </si>
  <si>
    <t>BP-60-T1J-7215+7216+7217+7218</t>
  </si>
  <si>
    <t>右后副车架安装后固定板总成弧焊夹具</t>
  </si>
  <si>
    <t>BP-60-T1J-7118</t>
  </si>
  <si>
    <t>中地板横梁总成一序夹具</t>
  </si>
  <si>
    <t>BP-60-T1J-7301</t>
  </si>
  <si>
    <t>后围板总成一序夹具</t>
  </si>
  <si>
    <t>BP-60-T1J-7302</t>
  </si>
  <si>
    <t>后围板总成二序夹具</t>
  </si>
  <si>
    <t>BP-60-T1J-7303</t>
  </si>
  <si>
    <t>后围板总成三序夹具</t>
  </si>
  <si>
    <t>BP-60-T1J-7304</t>
  </si>
  <si>
    <t>后围板内板总成夹具</t>
  </si>
  <si>
    <t>BP-60-T1J-7305</t>
  </si>
  <si>
    <t>后围内板左&amp;右连接板总成</t>
  </si>
  <si>
    <t>3.14OK</t>
  </si>
  <si>
    <t>BP_60_T1J_5111</t>
  </si>
  <si>
    <t>左内门环总成一序</t>
  </si>
  <si>
    <t>BP_60_T1J_5112</t>
  </si>
  <si>
    <t>左内门环总成二序</t>
  </si>
  <si>
    <t>BP_60_T1J_5211</t>
  </si>
  <si>
    <t>右内门环总成一序</t>
  </si>
  <si>
    <t>BP_60_T1J_5212</t>
  </si>
  <si>
    <t>右内门环总成二序</t>
  </si>
  <si>
    <t>BP_60_T1J_5104</t>
  </si>
  <si>
    <t>左侧围加强板总成一序</t>
  </si>
  <si>
    <t>BP_60_T1J_5105</t>
  </si>
  <si>
    <t>左侧围加强板总成二序</t>
  </si>
  <si>
    <t>BP_60_T1J_5106</t>
  </si>
  <si>
    <t>左侧围加强板总成三序</t>
  </si>
  <si>
    <t>BP_60_T1J_5107</t>
  </si>
  <si>
    <t>左侧围加强板总成四序</t>
  </si>
  <si>
    <t>BP_60_T1J_5108</t>
  </si>
  <si>
    <t>左侧围加强板总成五序</t>
  </si>
  <si>
    <t>BP_60_T1J_5109</t>
  </si>
  <si>
    <t>左侧围加强板总成六序</t>
  </si>
  <si>
    <t>BP_60_T1J_5101+5102</t>
  </si>
  <si>
    <t>左前门上铰链安装板</t>
  </si>
  <si>
    <t>BP_60_T1J_5103A</t>
  </si>
  <si>
    <t>吸能盒加强板总成一</t>
  </si>
  <si>
    <t>BP_60_T1J_5204</t>
  </si>
  <si>
    <t>右侧围加强板总成一序</t>
  </si>
  <si>
    <t>BP_60_T1J_5205</t>
  </si>
  <si>
    <t>右侧围加强板总成二序</t>
  </si>
  <si>
    <t>BP_60_T1J_5206</t>
  </si>
  <si>
    <t>右侧围加强板总成三序</t>
  </si>
  <si>
    <t>BP_60_T1J_5207</t>
  </si>
  <si>
    <t>右侧围加强板总成四序</t>
  </si>
  <si>
    <t>BP_60_T1J_5208</t>
  </si>
  <si>
    <t>右侧围加强板总成五序</t>
  </si>
  <si>
    <t>BP_60_T1J_5209</t>
  </si>
  <si>
    <t>右侧围加强板总成六序</t>
  </si>
  <si>
    <t>BP_60_T1J_5201+5202</t>
  </si>
  <si>
    <t>右前门上铰链安装板</t>
  </si>
  <si>
    <t>BP_60_T1J_5103B</t>
  </si>
  <si>
    <t>吸能盒加强板总成二</t>
  </si>
  <si>
    <t>BP_60_T1J_5321+5322</t>
  </si>
  <si>
    <t>左后门锁扣加强板</t>
  </si>
  <si>
    <t>BP_60_T1J_5323+5324</t>
  </si>
  <si>
    <t>左D柱内板总成一序</t>
  </si>
  <si>
    <t>BP_60_T1J_5325</t>
  </si>
  <si>
    <t>左D柱内板总成二序</t>
  </si>
  <si>
    <t>BP_60_T1J_5326</t>
  </si>
  <si>
    <t>左D柱总成一序</t>
  </si>
  <si>
    <t>BP_60_T1J_5327</t>
  </si>
  <si>
    <t>左D柱总成二序</t>
  </si>
  <si>
    <t>BP_60_T1J_5328</t>
  </si>
  <si>
    <t>左C柱加强板总成</t>
  </si>
  <si>
    <t>BP_60_T1J_5329</t>
  </si>
  <si>
    <t>左侧围内板后部上段总成一序</t>
  </si>
  <si>
    <t>BP_60_T1J_5330</t>
  </si>
  <si>
    <t>左侧围内板后部上段总成二序</t>
  </si>
  <si>
    <t>BP_60_T1J_5331</t>
  </si>
  <si>
    <t>左侧围内板后部上段总成三序</t>
  </si>
  <si>
    <t>BP_60_T1J_5332</t>
  </si>
  <si>
    <t>左侧围内板后部上段总成四序</t>
  </si>
  <si>
    <t>BP_60_T1J_5424+5421+5422</t>
  </si>
  <si>
    <t>右C柱内板总成</t>
  </si>
  <si>
    <t>BP_60_T1J_5423</t>
  </si>
  <si>
    <t>右D柱内板总成</t>
  </si>
  <si>
    <t>BP_60_T1J_5425</t>
  </si>
  <si>
    <t>后顶横梁右上连接件总成二序</t>
  </si>
  <si>
    <t>BP_60_T1J_5428</t>
  </si>
  <si>
    <t>右C柱加强板总成</t>
  </si>
  <si>
    <t>BP_60_T1J_5426</t>
  </si>
  <si>
    <t>右D柱总成一序</t>
  </si>
  <si>
    <t>BP_60_T1J_5427</t>
  </si>
  <si>
    <t>右D柱总成二序</t>
  </si>
  <si>
    <t>BP_60_T1J_5429</t>
  </si>
  <si>
    <t>右侧围内板后部上段总成一序</t>
  </si>
  <si>
    <t>BP_60_T1J_5430</t>
  </si>
  <si>
    <t>右侧围内板后部上段总成二序</t>
  </si>
  <si>
    <t>BP_60_T1J_5431</t>
  </si>
  <si>
    <t>右侧围内板后部上段总成三序</t>
  </si>
  <si>
    <t>BP_60_T1J_5432</t>
  </si>
  <si>
    <t>右侧围内板后部上段总成四序</t>
  </si>
  <si>
    <t>BP_60_T1J_5301+5302+5304</t>
  </si>
  <si>
    <t>左后门槛吸能盒加强板总成</t>
  </si>
  <si>
    <t>BP_60_T1J_5304</t>
  </si>
  <si>
    <t>左后轮罩外板总成一序</t>
  </si>
  <si>
    <t>BP_60_T1J_5306</t>
  </si>
  <si>
    <t>左后轮罩外板总成二序</t>
  </si>
  <si>
    <t>已下图-3.11</t>
  </si>
  <si>
    <t>BP_60_T1J_5307</t>
  </si>
  <si>
    <t>左后轮罩外板总成螺柱焊</t>
  </si>
  <si>
    <t>BP_60_T1J_5308</t>
  </si>
  <si>
    <t>左后轮罩内板前加强板总成</t>
  </si>
  <si>
    <t>BP_60_T1J_5309</t>
  </si>
  <si>
    <t>左后轮罩内板总成一序</t>
  </si>
  <si>
    <t>BP_60_T1J_5310</t>
  </si>
  <si>
    <t>左后轮罩内板总成二序</t>
  </si>
  <si>
    <t>BP_60_T1J_5311</t>
  </si>
  <si>
    <t>左后轮罩内板总成三序</t>
  </si>
  <si>
    <t>BP_60_T1J_5312</t>
  </si>
  <si>
    <t>左后轮罩内板总成四序</t>
  </si>
  <si>
    <t>BP_60_T1J_5313</t>
  </si>
  <si>
    <t>左后轮罩内板总成五序</t>
  </si>
  <si>
    <t>BP_60_T1J_5314</t>
  </si>
  <si>
    <t>左后轮罩内板总成螺柱焊</t>
  </si>
  <si>
    <t>BP_60_T1J_5316</t>
  </si>
  <si>
    <t>左后轮罩总成一序</t>
  </si>
  <si>
    <t>BP_60_T1J_5317</t>
  </si>
  <si>
    <t>左后轮罩总成二序</t>
  </si>
  <si>
    <t>已下图-3.10</t>
  </si>
  <si>
    <t>BP_60_T1J_5318</t>
  </si>
  <si>
    <t>左后轮罩总成三序</t>
  </si>
  <si>
    <t>BP_60_T1J_5319</t>
  </si>
  <si>
    <t>左后轮罩总成四序</t>
  </si>
  <si>
    <t>BP_60_T1J_5320</t>
  </si>
  <si>
    <t>左后轮罩总成五序</t>
  </si>
  <si>
    <t>BP_60_T1J_5401+5402+5403</t>
  </si>
  <si>
    <t>右后门槛吸能盒加强板总成</t>
  </si>
  <si>
    <t>BP_60_T1J_5408</t>
  </si>
  <si>
    <t>右后轮罩内板前加强板总成</t>
  </si>
  <si>
    <t>BP_60_T1J_5404</t>
  </si>
  <si>
    <t>右后轮罩外板总成</t>
  </si>
  <si>
    <t>BP_60_T1J_5407</t>
  </si>
  <si>
    <t>右后轮罩外板总成螺柱焊</t>
  </si>
  <si>
    <t>BP_60_T1J_5409</t>
  </si>
  <si>
    <t>右后轮罩内板总成一序</t>
  </si>
  <si>
    <t>BP_60_T1J_5410</t>
  </si>
  <si>
    <t>右后轮罩内板总成二序</t>
  </si>
  <si>
    <t>BP_60_T1J_5411</t>
  </si>
  <si>
    <t>右后轮罩内板总成三序</t>
  </si>
  <si>
    <t>BP_60_T1J_5414</t>
  </si>
  <si>
    <t>右后轮罩内板总成螺柱焊</t>
  </si>
  <si>
    <t>BP_60_T1J_5416</t>
  </si>
  <si>
    <t>右后轮罩总成一序</t>
  </si>
  <si>
    <t>BP_60_T1J_5417</t>
  </si>
  <si>
    <t>右后轮罩总成二序</t>
  </si>
  <si>
    <t>BP_60_T1J_5418</t>
  </si>
  <si>
    <t>右后轮罩总成三序</t>
  </si>
  <si>
    <t>BP_60_T1J_5419</t>
  </si>
  <si>
    <t>右后轮罩总成四序</t>
  </si>
  <si>
    <t>BP_60_T1J_5420</t>
  </si>
  <si>
    <t>右后轮罩总成五序</t>
  </si>
  <si>
    <t>BP_60_T1J_5421</t>
  </si>
  <si>
    <t>右后轮罩总成六序</t>
  </si>
  <si>
    <t>BP-60-T1J-6101</t>
  </si>
  <si>
    <t>SUB1-前地板-换挡手刹分总成</t>
  </si>
  <si>
    <t>BP-60-T1J-6102</t>
  </si>
  <si>
    <t>SUB2-前地板-前座椅中横梁分总成</t>
  </si>
  <si>
    <t>BP-60-T1J-6103</t>
  </si>
  <si>
    <t>SUB3-前地板-前座椅后横梁分总成</t>
  </si>
  <si>
    <t>BP-60-T1J-6104+6105</t>
  </si>
  <si>
    <t>SUB4-前地板-前座椅前横梁分总成</t>
  </si>
  <si>
    <t>BP-60-T1J-6106</t>
  </si>
  <si>
    <t>SUB5-中通道分总成SUB#1</t>
  </si>
  <si>
    <t>BP-60-T1J-6107</t>
  </si>
  <si>
    <t>SUB6-中通道分总成SUB#2</t>
  </si>
  <si>
    <t>BP-60-T1J-6108</t>
  </si>
  <si>
    <t>SUB7-中通道分总成植钉站SUB#3</t>
  </si>
  <si>
    <t>BP-60-T1J-6109</t>
  </si>
  <si>
    <t>SUB8-中通道分总成SUB#4</t>
  </si>
  <si>
    <t>BP-60-T1J-6110</t>
  </si>
  <si>
    <t>SUB9-中通道分总成SUB#5</t>
  </si>
  <si>
    <t>BP-60-T1J-6111</t>
  </si>
  <si>
    <t>SUB10-左/右前地板本体植钉站SUB#1</t>
  </si>
  <si>
    <t>BP-60-T1J-6112</t>
  </si>
  <si>
    <t>SUB11-左/右前地板本体植钉站SUB#2</t>
  </si>
  <si>
    <t>BP-60-T1J-6113</t>
  </si>
  <si>
    <t>SUB12-右前地板分总成</t>
  </si>
  <si>
    <t>BP-60-T1J-6114</t>
  </si>
  <si>
    <t>SUB13-左前地板分总成</t>
  </si>
  <si>
    <t>BP-60-T1J-6115</t>
  </si>
  <si>
    <t>SUB14-涂胶站</t>
  </si>
  <si>
    <t>BP-60-T1J-6001</t>
  </si>
  <si>
    <t>SUB15-前地板-主线01</t>
  </si>
  <si>
    <t>BP-60-T1J-6002</t>
  </si>
  <si>
    <t>SUB16-前地板-主线02</t>
  </si>
  <si>
    <t>BP-60-T1J-6003</t>
  </si>
  <si>
    <t>SUB17-前地板-主线03</t>
  </si>
  <si>
    <t>BP-60-T1J-6004</t>
  </si>
  <si>
    <t>SUB18-前地板-主线04</t>
  </si>
  <si>
    <t>BP-60-T1J-6005</t>
  </si>
  <si>
    <t>SUB19-前地板-主线05</t>
  </si>
  <si>
    <t>BP-60-T1J-4501</t>
  </si>
  <si>
    <t>SUB1-前挡板SUB#1</t>
  </si>
  <si>
    <t>BP-60-T1J-4502</t>
  </si>
  <si>
    <t>SUB2-前挡板SUB#1</t>
  </si>
  <si>
    <t>BP-60-T1J-4503</t>
  </si>
  <si>
    <t>SUB2-前挡板SUB#2</t>
  </si>
  <si>
    <t>BP-60-T1J-4504</t>
  </si>
  <si>
    <t>SUB3-前挡板SUB#3</t>
  </si>
  <si>
    <t>BP-60-T1J-4505</t>
  </si>
  <si>
    <t>SUB4-前挡板SUB#4</t>
  </si>
  <si>
    <t>BP-60-T1J-4506</t>
  </si>
  <si>
    <t>SUB5-前挡板SUB#5补焊站</t>
  </si>
  <si>
    <t>BP-60-T1J-4601</t>
  </si>
  <si>
    <t>SUB1-流水槽植钉站#1</t>
  </si>
  <si>
    <t>BP-60-T1J-4602</t>
  </si>
  <si>
    <t>SUB2-流水槽植钉站#2</t>
  </si>
  <si>
    <t>BP-60-T1J-4603</t>
  </si>
  <si>
    <t>SUB3-流水槽SUB#1</t>
  </si>
  <si>
    <t>BP-60-T1J-4604</t>
  </si>
  <si>
    <t>SUB4-流水槽SUB#2</t>
  </si>
  <si>
    <t>BP-60-T1J-4605</t>
  </si>
  <si>
    <t>SUB5-流水槽SUB#3</t>
  </si>
  <si>
    <t>BP-60-T1J-4606</t>
  </si>
  <si>
    <t>SUB7-流水槽SUB#4补焊站</t>
  </si>
  <si>
    <t>BP-60-T1J-4607</t>
  </si>
  <si>
    <t>螺柱焊接</t>
  </si>
  <si>
    <t>BP-60-T1J-4304</t>
  </si>
  <si>
    <t>左前轮罩上加强梁外板总成</t>
  </si>
  <si>
    <t>BP-60-T1J-4404</t>
  </si>
  <si>
    <t>右前轮罩上加强梁外板总成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</si>
</sst>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80" formatCode="_ [$¥-804]* #,##0.000_ ;_ [$¥-804]* \-#,##0.000_ ;_ [$¥-804]* &quot;-&quot;???_ ;_ @_ "/>
    <numFmt numFmtId="181" formatCode="0_ "/>
    <numFmt numFmtId="182" formatCode="d"/>
    <numFmt numFmtId="183" formatCode="0_);[Red]\(0\)"/>
  </numFmts>
  <fonts count="64">
    <font>
      <sz val="11"/>
      <color theme="1"/>
      <name val="宋体"/>
      <charset val="134"/>
      <scheme val="minor"/>
    </font>
    <font>
      <b/>
      <sz val="20"/>
      <color theme="1"/>
      <name val="宋体"/>
      <charset val="134"/>
      <scheme val="minor"/>
    </font>
    <font>
      <sz val="9"/>
      <color rgb="FF000000"/>
      <name val="宋体"/>
      <charset val="134"/>
    </font>
    <font>
      <sz val="9"/>
      <color rgb="FF000000"/>
      <name val="Times New Roman"/>
      <family val="1"/>
    </font>
    <font>
      <sz val="12"/>
      <color theme="1"/>
      <name val="微软雅黑"/>
      <charset val="134"/>
    </font>
    <font>
      <sz val="10"/>
      <color theme="1"/>
      <name val="微软雅黑"/>
      <charset val="134"/>
    </font>
    <font>
      <sz val="9"/>
      <color rgb="FF000000"/>
      <name val="微软雅黑"/>
      <charset val="134"/>
    </font>
    <font>
      <sz val="11"/>
      <color theme="1"/>
      <name val="微软雅黑"/>
      <charset val="134"/>
    </font>
    <font>
      <sz val="10"/>
      <name val="微软雅黑"/>
      <charset val="134"/>
    </font>
    <font>
      <b/>
      <sz val="11"/>
      <name val="宋体"/>
      <charset val="134"/>
      <scheme val="minor"/>
    </font>
    <font>
      <b/>
      <sz val="12"/>
      <color rgb="FF7030A0"/>
      <name val="黑体"/>
      <charset val="134"/>
    </font>
    <font>
      <b/>
      <sz val="12"/>
      <color rgb="FF7030A0"/>
      <name val="宋体"/>
      <charset val="134"/>
      <scheme val="minor"/>
    </font>
    <font>
      <sz val="10.5"/>
      <color theme="1"/>
      <name val="宋体"/>
      <charset val="134"/>
    </font>
    <font>
      <sz val="11"/>
      <color theme="1"/>
      <name val="黑体"/>
      <charset val="134"/>
    </font>
    <font>
      <b/>
      <sz val="11"/>
      <color rgb="FF4C89EE"/>
      <name val="黑体"/>
      <charset val="134"/>
    </font>
    <font>
      <sz val="11"/>
      <color rgb="FF4C89EE"/>
      <name val="黑体"/>
      <charset val="134"/>
    </font>
    <font>
      <sz val="11"/>
      <color rgb="FF7030A0"/>
      <name val="黑体"/>
      <charset val="134"/>
    </font>
    <font>
      <sz val="11"/>
      <color rgb="FFFF0000"/>
      <name val="黑体"/>
      <charset val="134"/>
    </font>
    <font>
      <sz val="10"/>
      <color theme="1"/>
      <name val="黑体"/>
      <charset val="134"/>
    </font>
    <font>
      <b/>
      <sz val="12"/>
      <color rgb="FFFF0000"/>
      <name val="黑体"/>
      <charset val="134"/>
    </font>
    <font>
      <b/>
      <sz val="36"/>
      <color rgb="FF4F71F0"/>
      <name val="黑体"/>
      <charset val="134"/>
    </font>
    <font>
      <sz val="11"/>
      <color rgb="FF4F71F0"/>
      <name val="黑体"/>
      <charset val="134"/>
    </font>
    <font>
      <b/>
      <sz val="11"/>
      <color rgb="FF4F71F0"/>
      <name val="黑体"/>
      <charset val="134"/>
    </font>
    <font>
      <sz val="11"/>
      <color theme="1" tint="0.249977111117893"/>
      <name val="黑体"/>
      <charset val="134"/>
    </font>
    <font>
      <sz val="11"/>
      <color theme="6" tint="0.39997558519241921"/>
      <name val="黑体"/>
      <charset val="134"/>
    </font>
    <font>
      <b/>
      <sz val="35"/>
      <color rgb="FF7030A0"/>
      <name val="黑体"/>
      <charset val="134"/>
    </font>
    <font>
      <b/>
      <sz val="20"/>
      <color rgb="FF7030A0"/>
      <name val="宋体"/>
      <charset val="134"/>
    </font>
    <font>
      <b/>
      <i/>
      <sz val="26"/>
      <color rgb="FF7030A0"/>
      <name val="黑体"/>
      <charset val="134"/>
    </font>
    <font>
      <b/>
      <i/>
      <sz val="26"/>
      <color rgb="FFFF0000"/>
      <name val="黑体"/>
      <charset val="134"/>
    </font>
    <font>
      <b/>
      <sz val="24"/>
      <color rgb="FF7030A0"/>
      <name val="黑体"/>
      <charset val="134"/>
    </font>
    <font>
      <b/>
      <sz val="33"/>
      <color rgb="FF4F71F0"/>
      <name val="黑体"/>
      <charset val="134"/>
    </font>
    <font>
      <i/>
      <sz val="18"/>
      <color rgb="FF7030A0"/>
      <name val="黑体"/>
      <charset val="134"/>
    </font>
    <font>
      <i/>
      <sz val="18"/>
      <color rgb="FFFF0000"/>
      <name val="黑体"/>
      <charset val="134"/>
    </font>
    <font>
      <sz val="18"/>
      <color rgb="FF4F71F0"/>
      <name val="黑体"/>
      <charset val="134"/>
    </font>
    <font>
      <sz val="18"/>
      <color rgb="FF7030A0"/>
      <name val="黑体"/>
      <charset val="134"/>
    </font>
    <font>
      <b/>
      <sz val="9"/>
      <color rgb="FF7030A0"/>
      <name val="黑体"/>
      <charset val="134"/>
    </font>
    <font>
      <sz val="9"/>
      <color rgb="FF7030A0"/>
      <name val="黑体"/>
      <charset val="134"/>
    </font>
    <font>
      <b/>
      <i/>
      <sz val="10"/>
      <color rgb="FF7030A0"/>
      <name val="黑体"/>
      <charset val="134"/>
    </font>
    <font>
      <b/>
      <sz val="11"/>
      <color rgb="FF7030A0"/>
      <name val="黑体"/>
      <charset val="134"/>
    </font>
    <font>
      <b/>
      <i/>
      <sz val="11"/>
      <color rgb="FF7030A0"/>
      <name val="黑体"/>
      <charset val="134"/>
    </font>
    <font>
      <b/>
      <i/>
      <sz val="11"/>
      <color rgb="FFFF0000"/>
      <name val="黑体"/>
      <charset val="134"/>
    </font>
    <font>
      <b/>
      <sz val="18"/>
      <color rgb="FF4F71F0"/>
      <name val="黑体"/>
      <charset val="134"/>
    </font>
    <font>
      <b/>
      <sz val="18"/>
      <color rgb="FF7030A0"/>
      <name val="黑体"/>
      <charset val="134"/>
    </font>
    <font>
      <sz val="14"/>
      <color theme="1" tint="0.249977111117893"/>
      <name val="黑体"/>
      <charset val="134"/>
    </font>
    <font>
      <b/>
      <sz val="11"/>
      <name val="黑体"/>
      <charset val="134"/>
    </font>
    <font>
      <b/>
      <sz val="11"/>
      <color rgb="FFFF0000"/>
      <name val="宋体"/>
      <charset val="134"/>
      <scheme val="minor"/>
    </font>
    <font>
      <b/>
      <i/>
      <sz val="11"/>
      <color theme="0"/>
      <name val="黑体"/>
      <charset val="134"/>
    </font>
    <font>
      <sz val="10"/>
      <color theme="1" tint="0.249977111117893"/>
      <name val="黑体"/>
      <charset val="134"/>
    </font>
    <font>
      <sz val="11"/>
      <name val="宋体"/>
      <charset val="134"/>
      <scheme val="minor"/>
    </font>
    <font>
      <sz val="11"/>
      <color rgb="FFFF0000"/>
      <name val="宋体"/>
      <charset val="134"/>
      <scheme val="minor"/>
    </font>
    <font>
      <strike/>
      <sz val="11"/>
      <name val="宋体"/>
      <charset val="134"/>
      <scheme val="minor"/>
    </font>
    <font>
      <b/>
      <sz val="26"/>
      <color theme="1"/>
      <name val="宋体"/>
      <charset val="134"/>
      <scheme val="minor"/>
    </font>
    <font>
      <sz val="16"/>
      <color theme="1"/>
      <name val="宋体"/>
      <charset val="134"/>
      <scheme val="minor"/>
    </font>
    <font>
      <sz val="28"/>
      <color theme="1"/>
      <name val="微软雅黑"/>
      <charset val="134"/>
    </font>
    <font>
      <sz val="48"/>
      <color theme="1"/>
      <name val="微软雅黑"/>
      <charset val="134"/>
    </font>
    <font>
      <sz val="22"/>
      <color theme="1"/>
      <name val="宋体"/>
      <charset val="134"/>
      <scheme val="minor"/>
    </font>
    <font>
      <b/>
      <sz val="11"/>
      <color theme="1"/>
      <name val="宋体"/>
      <charset val="134"/>
      <scheme val="minor"/>
    </font>
    <font>
      <sz val="11"/>
      <color theme="1"/>
      <name val="宋体"/>
      <charset val="134"/>
      <scheme val="minor"/>
    </font>
    <font>
      <sz val="12"/>
      <name val="宋体"/>
      <charset val="134"/>
    </font>
    <font>
      <b/>
      <strike/>
      <u/>
      <sz val="11"/>
      <color rgb="FFFF0000"/>
      <name val="宋体"/>
      <charset val="134"/>
      <scheme val="minor"/>
    </font>
    <font>
      <sz val="22"/>
      <color theme="1"/>
      <name val="宋体"/>
      <charset val="134"/>
    </font>
    <font>
      <sz val="11"/>
      <color theme="1"/>
      <name val="宋体"/>
      <charset val="134"/>
    </font>
    <font>
      <sz val="10.5"/>
      <color theme="1"/>
      <name val="Calibri"/>
    </font>
    <font>
      <sz val="9"/>
      <name val="宋体"/>
      <family val="3"/>
      <charset val="134"/>
      <scheme val="minor"/>
    </font>
  </fonts>
  <fills count="8">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5F50E4"/>
        <bgColor indexed="64"/>
      </patternFill>
    </fill>
    <fill>
      <patternFill patternType="solid">
        <fgColor theme="0" tint="-0.249977111117893"/>
        <bgColor indexed="64"/>
      </patternFill>
    </fill>
    <fill>
      <patternFill patternType="solid">
        <fgColor rgb="FFFFC000"/>
        <bgColor indexed="64"/>
      </patternFill>
    </fill>
  </fills>
  <borders count="4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top style="dashed">
        <color rgb="FF7030A0"/>
      </top>
      <bottom/>
      <diagonal/>
    </border>
    <border>
      <left style="thin">
        <color auto="1"/>
      </left>
      <right/>
      <top/>
      <bottom/>
      <diagonal/>
    </border>
    <border>
      <left style="hair">
        <color rgb="FF7030A0"/>
      </left>
      <right style="hair">
        <color rgb="FF7030A0"/>
      </right>
      <top style="dashed">
        <color rgb="FF7030A0"/>
      </top>
      <bottom style="hair">
        <color rgb="FF7030A0"/>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style="hair">
        <color rgb="FF7030A0"/>
      </left>
      <right style="hair">
        <color rgb="FF7030A0"/>
      </right>
      <top style="hair">
        <color rgb="FF7030A0"/>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hair">
        <color rgb="FF7030A0"/>
      </left>
      <right/>
      <top style="dashed">
        <color rgb="FF7030A0"/>
      </top>
      <bottom/>
      <diagonal/>
    </border>
    <border>
      <left/>
      <right style="hair">
        <color rgb="FF7030A0"/>
      </right>
      <top style="dashed">
        <color rgb="FF7030A0"/>
      </top>
      <bottom style="hair">
        <color rgb="FF7030A0"/>
      </bottom>
      <diagonal/>
    </border>
    <border>
      <left/>
      <right style="hair">
        <color rgb="FF7030A0"/>
      </right>
      <top style="dashed">
        <color rgb="FF7030A0"/>
      </top>
      <bottom/>
      <diagonal/>
    </border>
    <border>
      <left style="thin">
        <color theme="0" tint="-0.249977111117893"/>
      </left>
      <right/>
      <top style="thin">
        <color theme="0" tint="-0.249977111117893"/>
      </top>
      <bottom/>
      <diagonal/>
    </border>
    <border>
      <left style="hair">
        <color rgb="FF7030A0"/>
      </left>
      <right/>
      <top/>
      <bottom style="hair">
        <color rgb="FF7030A0"/>
      </bottom>
      <diagonal/>
    </border>
    <border>
      <left/>
      <right style="hair">
        <color rgb="FF7030A0"/>
      </right>
      <top style="hair">
        <color rgb="FF7030A0"/>
      </top>
      <bottom/>
      <diagonal/>
    </border>
    <border>
      <left/>
      <right style="hair">
        <color rgb="FF7030A0"/>
      </right>
      <top/>
      <bottom/>
      <diagonal/>
    </border>
    <border>
      <left style="hair">
        <color rgb="FF7030A0"/>
      </left>
      <right style="hair">
        <color rgb="FF7030A0"/>
      </right>
      <top style="hair">
        <color rgb="FF7030A0"/>
      </top>
      <bottom style="hair">
        <color rgb="FF7030A0"/>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style="thin">
        <color theme="0" tint="-0.249977111117893"/>
      </right>
      <top/>
      <bottom/>
      <diagonal/>
    </border>
    <border>
      <left style="hair">
        <color rgb="FF7030A0"/>
      </left>
      <right/>
      <top style="hair">
        <color rgb="FF7030A0"/>
      </top>
      <bottom style="hair">
        <color rgb="FF7030A0"/>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diagonal/>
    </border>
    <border>
      <left/>
      <right/>
      <top style="medium">
        <color auto="1"/>
      </top>
      <bottom style="medium">
        <color auto="1"/>
      </bottom>
      <diagonal/>
    </border>
    <border>
      <left style="hair">
        <color rgb="FF7030A0"/>
      </left>
      <right/>
      <top style="thin">
        <color rgb="FF7030A0"/>
      </top>
      <bottom/>
      <diagonal/>
    </border>
    <border>
      <left style="hair">
        <color rgb="FF7030A0"/>
      </left>
      <right/>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s>
  <cellStyleXfs count="13">
    <xf numFmtId="0" fontId="0" fillId="0" borderId="0"/>
    <xf numFmtId="9" fontId="57" fillId="0" borderId="0" applyFont="0" applyFill="0" applyBorder="0" applyAlignment="0" applyProtection="0">
      <alignment vertical="center"/>
    </xf>
    <xf numFmtId="9" fontId="57" fillId="0" borderId="0" applyFont="0" applyFill="0" applyBorder="0" applyAlignment="0" applyProtection="0">
      <alignment vertical="center"/>
    </xf>
    <xf numFmtId="180" fontId="57" fillId="0" borderId="0">
      <alignment vertical="center"/>
    </xf>
    <xf numFmtId="0" fontId="58" fillId="0" borderId="0"/>
    <xf numFmtId="0" fontId="57" fillId="0" borderId="0"/>
    <xf numFmtId="0" fontId="58" fillId="0" borderId="0"/>
    <xf numFmtId="0" fontId="58"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cellStyleXfs>
  <cellXfs count="221">
    <xf numFmtId="0" fontId="0" fillId="0" borderId="0" xfId="0"/>
    <xf numFmtId="0" fontId="0" fillId="0" borderId="6" xfId="0" applyBorder="1" applyAlignment="1">
      <alignment horizontal="center" vertical="center"/>
    </xf>
    <xf numFmtId="0" fontId="2" fillId="0" borderId="6" xfId="9" applyFont="1" applyBorder="1" applyAlignment="1">
      <alignment horizontal="center" vertical="center" wrapText="1"/>
    </xf>
    <xf numFmtId="0" fontId="2" fillId="0" borderId="6" xfId="9" applyFont="1" applyBorder="1" applyAlignment="1">
      <alignment horizontal="center" vertical="center"/>
    </xf>
    <xf numFmtId="0" fontId="3" fillId="0" borderId="6" xfId="9" applyFont="1" applyBorder="1" applyAlignment="1">
      <alignment horizontal="center" vertical="center"/>
    </xf>
    <xf numFmtId="0" fontId="0" fillId="0" borderId="6" xfId="0" applyBorder="1"/>
    <xf numFmtId="10" fontId="0" fillId="0" borderId="6" xfId="0" applyNumberFormat="1" applyBorder="1"/>
    <xf numFmtId="0" fontId="2" fillId="0" borderId="7" xfId="9" applyFont="1" applyBorder="1" applyAlignment="1">
      <alignment horizontal="center" vertical="center" wrapText="1"/>
    </xf>
    <xf numFmtId="10" fontId="0" fillId="0" borderId="6" xfId="0" applyNumberFormat="1" applyBorder="1" applyAlignment="1">
      <alignment horizontal="center" vertical="center"/>
    </xf>
    <xf numFmtId="14" fontId="0" fillId="0" borderId="6" xfId="0" applyNumberFormat="1" applyBorder="1" applyAlignment="1">
      <alignment horizontal="center" vertical="center"/>
    </xf>
    <xf numFmtId="14" fontId="57" fillId="0" borderId="6" xfId="10" applyNumberFormat="1" applyBorder="1" applyAlignment="1">
      <alignment horizontal="center" vertical="center"/>
    </xf>
    <xf numFmtId="0" fontId="2" fillId="0" borderId="4" xfId="9" applyFont="1" applyBorder="1" applyAlignment="1">
      <alignment horizontal="center" vertical="center"/>
    </xf>
    <xf numFmtId="0" fontId="3" fillId="0" borderId="4" xfId="9" applyFont="1" applyBorder="1" applyAlignment="1">
      <alignment horizontal="center" vertical="center"/>
    </xf>
    <xf numFmtId="49" fontId="4" fillId="0" borderId="6" xfId="0" applyNumberFormat="1" applyFont="1" applyBorder="1" applyAlignment="1">
      <alignment horizontal="center" vertical="center"/>
    </xf>
    <xf numFmtId="0" fontId="4" fillId="0" borderId="6" xfId="0" applyFont="1" applyBorder="1" applyAlignment="1">
      <alignment horizontal="center" vertical="center" wrapText="1"/>
    </xf>
    <xf numFmtId="14" fontId="0" fillId="2" borderId="6" xfId="0" applyNumberFormat="1" applyFill="1" applyBorder="1" applyAlignment="1">
      <alignment horizontal="center" vertical="center"/>
    </xf>
    <xf numFmtId="0" fontId="57" fillId="0" borderId="6" xfId="9" applyBorder="1">
      <alignment vertical="center"/>
    </xf>
    <xf numFmtId="0" fontId="5" fillId="0" borderId="6" xfId="0" applyFont="1" applyBorder="1" applyAlignment="1">
      <alignment horizontal="center" vertical="center"/>
    </xf>
    <xf numFmtId="181" fontId="5" fillId="0" borderId="6" xfId="0" applyNumberFormat="1" applyFont="1" applyBorder="1" applyAlignment="1">
      <alignment horizontal="center" vertical="center"/>
    </xf>
    <xf numFmtId="0" fontId="6" fillId="0" borderId="6" xfId="0" applyFont="1" applyBorder="1" applyAlignment="1">
      <alignment horizontal="center" vertical="center"/>
    </xf>
    <xf numFmtId="0" fontId="5" fillId="0" borderId="6" xfId="0" applyFont="1" applyBorder="1" applyAlignment="1">
      <alignment horizontal="center" vertical="center" wrapText="1"/>
    </xf>
    <xf numFmtId="181" fontId="5" fillId="0" borderId="4" xfId="0" applyNumberFormat="1" applyFont="1" applyBorder="1" applyAlignment="1">
      <alignment horizontal="center" vertical="center"/>
    </xf>
    <xf numFmtId="0" fontId="7" fillId="0" borderId="8" xfId="0" applyFont="1" applyBorder="1" applyAlignment="1">
      <alignment horizontal="center" vertical="center"/>
    </xf>
    <xf numFmtId="0" fontId="6" fillId="0" borderId="6" xfId="0" applyFont="1" applyBorder="1" applyAlignment="1">
      <alignment horizontal="center" vertical="center" wrapText="1"/>
    </xf>
    <xf numFmtId="181" fontId="8" fillId="0" borderId="6" xfId="0" applyNumberFormat="1" applyFont="1" applyBorder="1" applyAlignment="1">
      <alignment horizontal="center" vertical="center"/>
    </xf>
    <xf numFmtId="0" fontId="8" fillId="0" borderId="6" xfId="0" applyFont="1" applyBorder="1" applyAlignment="1">
      <alignment horizontal="center" vertical="center"/>
    </xf>
    <xf numFmtId="181" fontId="8" fillId="0" borderId="4" xfId="0" applyNumberFormat="1" applyFont="1" applyBorder="1" applyAlignment="1">
      <alignment horizontal="center" vertical="center"/>
    </xf>
    <xf numFmtId="0" fontId="7" fillId="0" borderId="4" xfId="0" applyFont="1" applyBorder="1" applyAlignment="1">
      <alignment horizontal="center" vertical="center"/>
    </xf>
    <xf numFmtId="0" fontId="5" fillId="3" borderId="6" xfId="0" applyFont="1" applyFill="1" applyBorder="1" applyAlignment="1">
      <alignment horizontal="center" vertical="center"/>
    </xf>
    <xf numFmtId="181" fontId="8" fillId="0" borderId="5" xfId="0" applyNumberFormat="1" applyFont="1" applyBorder="1" applyAlignment="1">
      <alignment horizontal="center" vertical="center"/>
    </xf>
    <xf numFmtId="0" fontId="8" fillId="0" borderId="6" xfId="4" applyFont="1" applyBorder="1" applyAlignment="1">
      <alignment horizontal="center" vertical="center" wrapText="1"/>
    </xf>
    <xf numFmtId="181" fontId="8" fillId="0" borderId="6" xfId="4" applyNumberFormat="1" applyFont="1" applyBorder="1" applyAlignment="1">
      <alignment horizontal="center" vertical="center" wrapText="1"/>
    </xf>
    <xf numFmtId="0" fontId="6" fillId="0" borderId="4" xfId="0" applyFont="1" applyBorder="1" applyAlignment="1">
      <alignment horizontal="center" vertical="center"/>
    </xf>
    <xf numFmtId="0" fontId="8" fillId="0" borderId="4" xfId="4" applyFont="1" applyBorder="1" applyAlignment="1">
      <alignment horizontal="center" vertical="center" wrapText="1"/>
    </xf>
    <xf numFmtId="181" fontId="8" fillId="0" borderId="4" xfId="4" applyNumberFormat="1" applyFont="1" applyBorder="1" applyAlignment="1">
      <alignment horizontal="center" vertical="center" wrapText="1"/>
    </xf>
    <xf numFmtId="0" fontId="6" fillId="0" borderId="4" xfId="0" applyFont="1" applyBorder="1" applyAlignment="1">
      <alignment horizontal="center" vertical="center" wrapText="1"/>
    </xf>
    <xf numFmtId="49" fontId="4" fillId="0" borderId="6" xfId="0" applyNumberFormat="1" applyFont="1" applyBorder="1" applyAlignment="1">
      <alignment horizontal="center" vertical="center" wrapText="1"/>
    </xf>
    <xf numFmtId="0" fontId="4" fillId="0" borderId="6" xfId="6" applyFont="1" applyBorder="1" applyAlignment="1">
      <alignment horizontal="center" vertical="center" wrapText="1"/>
    </xf>
    <xf numFmtId="0" fontId="4" fillId="0" borderId="6" xfId="7" applyFont="1" applyBorder="1" applyAlignment="1">
      <alignment horizontal="center" vertical="center" wrapText="1"/>
    </xf>
    <xf numFmtId="180" fontId="4" fillId="0" borderId="6" xfId="3" applyFont="1" applyBorder="1" applyAlignment="1">
      <alignment horizontal="center" vertical="center"/>
    </xf>
    <xf numFmtId="0" fontId="9" fillId="0" borderId="0" xfId="0" applyFont="1" applyAlignment="1">
      <alignment vertical="center"/>
    </xf>
    <xf numFmtId="0" fontId="0" fillId="0" borderId="0" xfId="0" applyAlignment="1">
      <alignment vertical="center"/>
    </xf>
    <xf numFmtId="0" fontId="0" fillId="0" borderId="0" xfId="0" applyAlignment="1">
      <alignment horizontal="center"/>
    </xf>
    <xf numFmtId="0" fontId="9" fillId="0" borderId="6" xfId="0" applyFont="1" applyBorder="1" applyAlignment="1">
      <alignment vertical="center"/>
    </xf>
    <xf numFmtId="0" fontId="10" fillId="4" borderId="6" xfId="0" applyFont="1" applyFill="1" applyBorder="1" applyAlignment="1">
      <alignment vertical="center"/>
    </xf>
    <xf numFmtId="0" fontId="11" fillId="4" borderId="3" xfId="0" applyFont="1" applyFill="1" applyBorder="1" applyAlignment="1">
      <alignment horizontal="center" vertical="center"/>
    </xf>
    <xf numFmtId="0" fontId="11" fillId="4" borderId="6" xfId="0" applyFont="1" applyFill="1" applyBorder="1" applyAlignment="1">
      <alignment horizontal="center" vertical="center"/>
    </xf>
    <xf numFmtId="0" fontId="0" fillId="0" borderId="6" xfId="0" applyBorder="1" applyAlignment="1">
      <alignment vertical="center" wrapText="1"/>
    </xf>
    <xf numFmtId="0" fontId="0" fillId="0" borderId="3" xfId="0" applyBorder="1" applyAlignment="1">
      <alignment horizontal="center" vertical="center"/>
    </xf>
    <xf numFmtId="0" fontId="0" fillId="0" borderId="3" xfId="0" applyBorder="1" applyAlignment="1">
      <alignment vertical="center"/>
    </xf>
    <xf numFmtId="0" fontId="0" fillId="0" borderId="6" xfId="0" applyBorder="1" applyAlignment="1">
      <alignment wrapText="1"/>
    </xf>
    <xf numFmtId="0" fontId="12" fillId="0" borderId="6" xfId="0" applyFont="1" applyBorder="1" applyAlignment="1">
      <alignment horizontal="justify"/>
    </xf>
    <xf numFmtId="0" fontId="12" fillId="0" borderId="8" xfId="0" applyFont="1" applyBorder="1" applyAlignment="1">
      <alignment horizontal="justify"/>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vertical="center"/>
    </xf>
    <xf numFmtId="0" fontId="17" fillId="0" borderId="0" xfId="0" applyFont="1" applyAlignment="1">
      <alignment vertical="center"/>
    </xf>
    <xf numFmtId="0" fontId="13" fillId="0" borderId="0" xfId="0" applyFont="1" applyAlignment="1">
      <alignment horizontal="center" vertical="center"/>
    </xf>
    <xf numFmtId="0" fontId="18" fillId="0" borderId="0" xfId="0" applyFont="1" applyAlignment="1">
      <alignment horizontal="center" vertical="center"/>
    </xf>
    <xf numFmtId="10" fontId="13" fillId="0" borderId="0" xfId="1" applyNumberFormat="1" applyFont="1" applyAlignment="1">
      <alignment horizontal="center" vertical="center"/>
    </xf>
    <xf numFmtId="0" fontId="20" fillId="0" borderId="0" xfId="0" applyFont="1" applyAlignment="1">
      <alignment horizontal="center" vertical="center"/>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horizontal="center" vertical="center"/>
    </xf>
    <xf numFmtId="182" fontId="23" fillId="0" borderId="0" xfId="1" applyNumberFormat="1" applyFont="1" applyAlignment="1">
      <alignment horizontal="center" vertical="center"/>
    </xf>
    <xf numFmtId="182" fontId="23" fillId="0" borderId="0" xfId="0" applyNumberFormat="1"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182" fontId="22" fillId="0" borderId="0" xfId="1" applyNumberFormat="1" applyFont="1" applyAlignment="1">
      <alignment horizontal="center" vertical="center"/>
    </xf>
    <xf numFmtId="182" fontId="22" fillId="0" borderId="0" xfId="0" applyNumberFormat="1" applyFont="1" applyAlignment="1">
      <alignment horizontal="center" vertical="center"/>
    </xf>
    <xf numFmtId="0" fontId="31" fillId="0" borderId="0" xfId="0" applyFont="1" applyAlignment="1">
      <alignment horizontal="left" vertical="center"/>
    </xf>
    <xf numFmtId="0" fontId="31" fillId="0" borderId="0" xfId="0" applyFont="1" applyAlignment="1">
      <alignment vertical="center"/>
    </xf>
    <xf numFmtId="0" fontId="32" fillId="0" borderId="0" xfId="0" applyFont="1" applyAlignment="1">
      <alignment vertical="center"/>
    </xf>
    <xf numFmtId="0" fontId="10" fillId="4" borderId="0" xfId="0" applyFont="1" applyFill="1" applyAlignment="1">
      <alignment horizontal="center" vertical="center"/>
    </xf>
    <xf numFmtId="0" fontId="33" fillId="0" borderId="0" xfId="0" applyFont="1" applyAlignment="1">
      <alignment vertical="center"/>
    </xf>
    <xf numFmtId="0" fontId="34" fillId="0" borderId="0" xfId="0" applyFont="1" applyAlignment="1">
      <alignment vertical="center"/>
    </xf>
    <xf numFmtId="0" fontId="35" fillId="0" borderId="0" xfId="1" applyNumberFormat="1" applyFont="1" applyAlignment="1">
      <alignment horizontal="center" vertical="center"/>
    </xf>
    <xf numFmtId="0" fontId="36" fillId="0" borderId="0" xfId="1" applyNumberFormat="1" applyFont="1" applyAlignment="1">
      <alignment horizontal="center" vertical="center"/>
    </xf>
    <xf numFmtId="0" fontId="37" fillId="0" borderId="0" xfId="0" applyFont="1" applyAlignment="1">
      <alignment horizontal="left" vertical="center"/>
    </xf>
    <xf numFmtId="14" fontId="38" fillId="0" borderId="0" xfId="0" applyNumberFormat="1" applyFont="1" applyAlignment="1">
      <alignment horizontal="center" vertical="center"/>
    </xf>
    <xf numFmtId="14" fontId="39" fillId="0" borderId="0" xfId="0" applyNumberFormat="1" applyFont="1" applyAlignment="1">
      <alignment vertical="center"/>
    </xf>
    <xf numFmtId="14" fontId="40" fillId="0" borderId="0" xfId="0" applyNumberFormat="1" applyFont="1" applyAlignment="1">
      <alignment vertical="center"/>
    </xf>
    <xf numFmtId="0" fontId="38" fillId="0" borderId="0" xfId="0" applyFont="1" applyAlignment="1">
      <alignment horizontal="center" vertical="top"/>
    </xf>
    <xf numFmtId="0" fontId="38" fillId="0" borderId="0" xfId="0" applyFont="1" applyAlignment="1">
      <alignment vertical="top"/>
    </xf>
    <xf numFmtId="0" fontId="41" fillId="0" borderId="0" xfId="0" applyFont="1" applyAlignment="1">
      <alignment vertical="top"/>
    </xf>
    <xf numFmtId="0" fontId="42" fillId="0" borderId="0" xfId="0" applyFont="1" applyAlignment="1">
      <alignment vertical="top"/>
    </xf>
    <xf numFmtId="10" fontId="42" fillId="0" borderId="0" xfId="1" applyNumberFormat="1" applyFont="1" applyAlignment="1">
      <alignment vertical="top"/>
    </xf>
    <xf numFmtId="182" fontId="35" fillId="0" borderId="0" xfId="1" applyNumberFormat="1" applyFont="1" applyAlignment="1">
      <alignment horizontal="center" vertical="center"/>
    </xf>
    <xf numFmtId="182" fontId="36" fillId="0" borderId="0" xfId="1" applyNumberFormat="1" applyFont="1" applyAlignment="1">
      <alignment horizontal="center" vertical="center"/>
    </xf>
    <xf numFmtId="0" fontId="10" fillId="4" borderId="21" xfId="0" applyFont="1" applyFill="1" applyBorder="1" applyAlignment="1">
      <alignment vertical="top"/>
    </xf>
    <xf numFmtId="0" fontId="10" fillId="4" borderId="16" xfId="0" applyFont="1" applyFill="1" applyBorder="1" applyAlignment="1">
      <alignment vertical="top"/>
    </xf>
    <xf numFmtId="182" fontId="38" fillId="4" borderId="17" xfId="1" applyNumberFormat="1" applyFont="1" applyFill="1" applyBorder="1" applyAlignment="1">
      <alignment horizontal="center" vertical="center"/>
    </xf>
    <xf numFmtId="182" fontId="38" fillId="4" borderId="16" xfId="0" applyNumberFormat="1" applyFont="1" applyFill="1" applyBorder="1" applyAlignment="1">
      <alignment horizontal="center" vertical="center"/>
    </xf>
    <xf numFmtId="182" fontId="38" fillId="4" borderId="17" xfId="0" applyNumberFormat="1" applyFont="1" applyFill="1" applyBorder="1" applyAlignment="1">
      <alignment horizontal="center" vertical="center"/>
    </xf>
    <xf numFmtId="0" fontId="10" fillId="4" borderId="26" xfId="0" applyFont="1" applyFill="1" applyBorder="1" applyAlignment="1">
      <alignment horizontal="center" vertical="center"/>
    </xf>
    <xf numFmtId="10" fontId="10" fillId="4" borderId="27" xfId="1" applyNumberFormat="1" applyFont="1" applyFill="1" applyBorder="1" applyAlignment="1">
      <alignment horizontal="center" vertical="center"/>
    </xf>
    <xf numFmtId="182" fontId="38" fillId="4" borderId="28" xfId="1" applyNumberFormat="1" applyFont="1" applyFill="1" applyBorder="1" applyAlignment="1">
      <alignment horizontal="center" vertical="center"/>
    </xf>
    <xf numFmtId="182" fontId="38" fillId="4" borderId="27" xfId="1" applyNumberFormat="1" applyFont="1" applyFill="1" applyBorder="1" applyAlignment="1">
      <alignment horizontal="center" vertical="center"/>
    </xf>
    <xf numFmtId="0" fontId="23" fillId="0" borderId="29" xfId="0" applyFont="1" applyBorder="1" applyAlignment="1">
      <alignment vertical="center" wrapText="1"/>
    </xf>
    <xf numFmtId="0" fontId="44" fillId="0" borderId="31" xfId="0" applyFont="1" applyBorder="1" applyAlignment="1">
      <alignment horizontal="left" vertical="center"/>
    </xf>
    <xf numFmtId="0" fontId="45" fillId="2" borderId="30" xfId="5" applyFont="1" applyFill="1" applyBorder="1" applyAlignment="1">
      <alignment horizontal="left" vertical="center" wrapText="1"/>
    </xf>
    <xf numFmtId="0" fontId="57" fillId="2" borderId="3" xfId="5" applyFill="1" applyBorder="1" applyAlignment="1">
      <alignment horizontal="center" vertical="center"/>
    </xf>
    <xf numFmtId="0" fontId="0" fillId="0" borderId="3" xfId="0" applyBorder="1" applyAlignment="1">
      <alignment horizontal="left" vertical="center"/>
    </xf>
    <xf numFmtId="9" fontId="23" fillId="0" borderId="25" xfId="0" applyNumberFormat="1" applyFont="1" applyBorder="1" applyAlignment="1">
      <alignment horizontal="center" vertical="center"/>
    </xf>
    <xf numFmtId="9" fontId="46" fillId="0" borderId="25" xfId="1" applyFont="1" applyBorder="1" applyAlignment="1">
      <alignment horizontal="left" vertical="center"/>
    </xf>
    <xf numFmtId="182" fontId="23" fillId="0" borderId="25" xfId="1" applyNumberFormat="1" applyFont="1" applyBorder="1" applyAlignment="1">
      <alignment horizontal="center" vertical="center"/>
    </xf>
    <xf numFmtId="182" fontId="23" fillId="5" borderId="25" xfId="1" applyNumberFormat="1" applyFont="1" applyFill="1" applyBorder="1" applyAlignment="1">
      <alignment horizontal="center" vertical="center"/>
    </xf>
    <xf numFmtId="182" fontId="23" fillId="0" borderId="25" xfId="1" applyNumberFormat="1" applyFont="1" applyFill="1" applyBorder="1" applyAlignment="1">
      <alignment horizontal="center" vertical="center"/>
    </xf>
    <xf numFmtId="0" fontId="9" fillId="0" borderId="31" xfId="5" applyFont="1" applyBorder="1" applyAlignment="1">
      <alignment horizontal="left" vertical="center"/>
    </xf>
    <xf numFmtId="0" fontId="57" fillId="2" borderId="31" xfId="5" applyFill="1" applyBorder="1" applyAlignment="1">
      <alignment horizontal="left" vertical="center" wrapText="1"/>
    </xf>
    <xf numFmtId="0" fontId="9" fillId="2" borderId="30" xfId="5" applyFont="1" applyFill="1" applyBorder="1" applyAlignment="1">
      <alignment horizontal="left" vertical="center" wrapText="1"/>
    </xf>
    <xf numFmtId="0" fontId="0" fillId="0" borderId="3" xfId="0" applyBorder="1" applyAlignment="1">
      <alignment horizontal="left" vertical="center" wrapText="1"/>
    </xf>
    <xf numFmtId="0" fontId="45" fillId="2" borderId="30" xfId="5" applyFont="1" applyFill="1" applyBorder="1" applyAlignment="1">
      <alignment horizontal="left" vertical="top" wrapText="1"/>
    </xf>
    <xf numFmtId="0" fontId="23" fillId="0" borderId="6" xfId="0" applyFont="1" applyBorder="1" applyAlignment="1">
      <alignment vertical="center"/>
    </xf>
    <xf numFmtId="0" fontId="0" fillId="0" borderId="6" xfId="0" applyBorder="1" applyAlignment="1">
      <alignment horizontal="left" vertical="center"/>
    </xf>
    <xf numFmtId="0" fontId="0" fillId="0" borderId="3" xfId="0" applyBorder="1" applyAlignment="1" applyProtection="1">
      <alignment horizontal="left" vertical="center"/>
      <protection locked="0"/>
    </xf>
    <xf numFmtId="0" fontId="57" fillId="2" borderId="31" xfId="5" applyFill="1" applyBorder="1" applyAlignment="1">
      <alignment horizontal="left" vertical="center"/>
    </xf>
    <xf numFmtId="0" fontId="9" fillId="0" borderId="32" xfId="5" applyFont="1" applyBorder="1" applyAlignment="1">
      <alignment horizontal="left" vertical="center"/>
    </xf>
    <xf numFmtId="0" fontId="57" fillId="2" borderId="30" xfId="5" applyFill="1" applyBorder="1" applyAlignment="1">
      <alignment horizontal="left" vertical="center"/>
    </xf>
    <xf numFmtId="0" fontId="9" fillId="0" borderId="6" xfId="5" applyFont="1" applyBorder="1" applyAlignment="1">
      <alignment horizontal="left" vertical="center"/>
    </xf>
    <xf numFmtId="0" fontId="57" fillId="2" borderId="33" xfId="5" applyFill="1" applyBorder="1" applyAlignment="1">
      <alignment horizontal="left" vertical="center" wrapText="1"/>
    </xf>
    <xf numFmtId="0" fontId="45" fillId="2" borderId="30" xfId="5" applyFont="1" applyFill="1" applyBorder="1" applyAlignment="1">
      <alignment horizontal="left" vertical="center"/>
    </xf>
    <xf numFmtId="0" fontId="45" fillId="2" borderId="33" xfId="5" applyFont="1" applyFill="1" applyBorder="1" applyAlignment="1">
      <alignment horizontal="center" vertical="center"/>
    </xf>
    <xf numFmtId="0" fontId="45" fillId="2" borderId="3" xfId="5" applyFont="1" applyFill="1" applyBorder="1" applyAlignment="1">
      <alignment horizontal="center" vertical="center"/>
    </xf>
    <xf numFmtId="0" fontId="9" fillId="2" borderId="30" xfId="5" applyFont="1" applyFill="1" applyBorder="1" applyAlignment="1">
      <alignment horizontal="left" vertical="center"/>
    </xf>
    <xf numFmtId="58" fontId="23" fillId="0" borderId="34" xfId="0" applyNumberFormat="1" applyFont="1" applyBorder="1" applyAlignment="1">
      <alignment vertical="center" wrapText="1"/>
    </xf>
    <xf numFmtId="0" fontId="48" fillId="2" borderId="30" xfId="5" applyFont="1" applyFill="1" applyBorder="1" applyAlignment="1">
      <alignment horizontal="left" vertical="center"/>
    </xf>
    <xf numFmtId="0" fontId="57" fillId="2" borderId="33" xfId="5" applyFill="1" applyBorder="1" applyAlignment="1">
      <alignment horizontal="center" vertical="center"/>
    </xf>
    <xf numFmtId="0" fontId="49" fillId="2" borderId="30" xfId="5" applyFont="1" applyFill="1" applyBorder="1" applyAlignment="1">
      <alignment horizontal="center" vertical="center"/>
    </xf>
    <xf numFmtId="58" fontId="23" fillId="0" borderId="35" xfId="0" applyNumberFormat="1" applyFont="1" applyBorder="1" applyAlignment="1">
      <alignment vertical="center" wrapText="1"/>
    </xf>
    <xf numFmtId="0" fontId="50" fillId="2" borderId="30" xfId="5" applyFont="1" applyFill="1" applyBorder="1" applyAlignment="1">
      <alignment horizontal="left" vertical="center"/>
    </xf>
    <xf numFmtId="0" fontId="48" fillId="2" borderId="30" xfId="5" applyFont="1" applyFill="1" applyBorder="1" applyAlignment="1">
      <alignment horizontal="left" vertical="center" wrapText="1"/>
    </xf>
    <xf numFmtId="0" fontId="7" fillId="0" borderId="6" xfId="0" applyFont="1" applyBorder="1" applyAlignment="1">
      <alignment horizontal="center" vertical="center"/>
    </xf>
    <xf numFmtId="14" fontId="7" fillId="0" borderId="6" xfId="0" applyNumberFormat="1" applyFont="1" applyBorder="1" applyAlignment="1">
      <alignment horizontal="center" vertical="center"/>
    </xf>
    <xf numFmtId="183" fontId="7" fillId="0" borderId="6" xfId="0" applyNumberFormat="1" applyFont="1" applyBorder="1" applyAlignment="1">
      <alignment horizontal="center" vertical="center"/>
    </xf>
    <xf numFmtId="9" fontId="7" fillId="0" borderId="6" xfId="0" applyNumberFormat="1" applyFont="1" applyBorder="1" applyAlignment="1">
      <alignment horizontal="center" vertical="center"/>
    </xf>
    <xf numFmtId="0" fontId="7" fillId="0" borderId="38" xfId="0" applyFont="1" applyBorder="1" applyAlignment="1">
      <alignment horizontal="center" vertical="center"/>
    </xf>
    <xf numFmtId="183" fontId="7" fillId="0" borderId="38" xfId="0" applyNumberFormat="1" applyFont="1" applyBorder="1" applyAlignment="1">
      <alignment horizontal="center" vertical="center"/>
    </xf>
    <xf numFmtId="10" fontId="0" fillId="0" borderId="38" xfId="0" applyNumberFormat="1" applyBorder="1" applyAlignment="1">
      <alignment horizontal="center" vertical="center"/>
    </xf>
    <xf numFmtId="9" fontId="7" fillId="0" borderId="38" xfId="0" applyNumberFormat="1" applyFont="1" applyBorder="1" applyAlignment="1">
      <alignment horizontal="center" vertical="center"/>
    </xf>
    <xf numFmtId="0" fontId="54" fillId="0" borderId="38" xfId="0" applyFont="1" applyBorder="1" applyAlignment="1">
      <alignment horizontal="center" vertical="center"/>
    </xf>
    <xf numFmtId="0" fontId="7" fillId="0" borderId="39" xfId="0" applyFont="1" applyBorder="1" applyAlignment="1">
      <alignment horizontal="center" vertical="center"/>
    </xf>
    <xf numFmtId="0" fontId="0" fillId="0" borderId="38" xfId="0" applyBorder="1"/>
    <xf numFmtId="0" fontId="0" fillId="0" borderId="39" xfId="0" applyBorder="1"/>
    <xf numFmtId="0" fontId="0" fillId="0" borderId="37" xfId="0" applyBorder="1"/>
    <xf numFmtId="0" fontId="0" fillId="0" borderId="41" xfId="0" applyBorder="1"/>
    <xf numFmtId="0" fontId="10" fillId="4" borderId="9" xfId="0" applyFont="1" applyFill="1" applyBorder="1" applyAlignment="1">
      <alignment vertical="center"/>
    </xf>
    <xf numFmtId="0" fontId="0" fillId="0" borderId="10" xfId="0" applyBorder="1" applyAlignment="1">
      <alignment vertical="center"/>
    </xf>
    <xf numFmtId="0" fontId="0" fillId="0" borderId="4" xfId="0" applyBorder="1" applyAlignment="1">
      <alignment vertical="center"/>
    </xf>
    <xf numFmtId="0" fontId="0" fillId="0" borderId="8" xfId="0" applyBorder="1" applyAlignment="1">
      <alignment vertical="center"/>
    </xf>
    <xf numFmtId="0" fontId="0" fillId="0" borderId="6" xfId="0" applyBorder="1" applyAlignment="1">
      <alignment vertical="center"/>
    </xf>
    <xf numFmtId="0" fontId="0" fillId="0" borderId="3" xfId="0" applyBorder="1" applyAlignment="1">
      <alignment vertical="center"/>
    </xf>
    <xf numFmtId="0" fontId="0" fillId="0" borderId="3" xfId="0" applyBorder="1" applyAlignment="1">
      <alignment horizontal="center" vertical="center"/>
    </xf>
    <xf numFmtId="0" fontId="0" fillId="0" borderId="6" xfId="0" applyBorder="1" applyAlignment="1">
      <alignment horizontal="center" vertical="center"/>
    </xf>
    <xf numFmtId="58" fontId="0" fillId="0" borderId="6" xfId="0" applyNumberFormat="1" applyBorder="1" applyAlignment="1">
      <alignment horizontal="center" vertical="center"/>
    </xf>
    <xf numFmtId="58" fontId="0" fillId="0" borderId="3" xfId="0" applyNumberFormat="1" applyBorder="1" applyAlignment="1">
      <alignment horizontal="center" vertical="center"/>
    </xf>
    <xf numFmtId="0" fontId="0" fillId="0" borderId="6" xfId="0" applyBorder="1" applyAlignment="1">
      <alignment vertical="center" wrapText="1"/>
    </xf>
    <xf numFmtId="0" fontId="0" fillId="0" borderId="1" xfId="0" applyBorder="1" applyAlignment="1">
      <alignment vertical="center" wrapText="1"/>
    </xf>
    <xf numFmtId="0" fontId="51" fillId="6" borderId="6" xfId="0" applyFont="1" applyFill="1" applyBorder="1" applyAlignment="1">
      <alignment horizontal="center" vertical="center"/>
    </xf>
    <xf numFmtId="0" fontId="52" fillId="7" borderId="1" xfId="0" applyFont="1" applyFill="1" applyBorder="1" applyAlignment="1">
      <alignment horizontal="left" vertical="center"/>
    </xf>
    <xf numFmtId="0" fontId="0" fillId="7" borderId="2" xfId="0" applyFill="1" applyBorder="1" applyAlignment="1">
      <alignment horizontal="left" vertical="center"/>
    </xf>
    <xf numFmtId="0" fontId="0" fillId="7" borderId="3" xfId="0" applyFill="1" applyBorder="1" applyAlignment="1">
      <alignment horizontal="left" vertical="center"/>
    </xf>
    <xf numFmtId="0" fontId="0" fillId="0" borderId="6" xfId="0" applyBorder="1" applyAlignment="1">
      <alignment horizontal="center"/>
    </xf>
    <xf numFmtId="0" fontId="7" fillId="0" borderId="6" xfId="0" applyFont="1" applyBorder="1" applyAlignment="1">
      <alignment horizontal="center" vertical="center"/>
    </xf>
    <xf numFmtId="0" fontId="7" fillId="0" borderId="36" xfId="0" applyFont="1" applyBorder="1" applyAlignment="1">
      <alignment horizontal="center" vertical="center"/>
    </xf>
    <xf numFmtId="0" fontId="7" fillId="0" borderId="10" xfId="0" applyFont="1" applyBorder="1" applyAlignment="1">
      <alignment horizontal="center" vertical="center"/>
    </xf>
    <xf numFmtId="0" fontId="7" fillId="0" borderId="40" xfId="0" applyFont="1" applyBorder="1" applyAlignment="1">
      <alignment horizontal="center" vertical="center"/>
    </xf>
    <xf numFmtId="0" fontId="7" fillId="0" borderId="37" xfId="0" applyFont="1" applyBorder="1" applyAlignment="1">
      <alignment horizontal="center" vertical="center"/>
    </xf>
    <xf numFmtId="0" fontId="7" fillId="0" borderId="0" xfId="0" applyFont="1" applyAlignment="1">
      <alignment horizontal="center" vertical="center"/>
    </xf>
    <xf numFmtId="0" fontId="7" fillId="0" borderId="38" xfId="0" applyFont="1" applyBorder="1" applyAlignment="1">
      <alignment horizontal="center" vertical="center"/>
    </xf>
    <xf numFmtId="14" fontId="7" fillId="0" borderId="6" xfId="0" applyNumberFormat="1" applyFont="1" applyBorder="1" applyAlignment="1">
      <alignment horizontal="center" vertical="center"/>
    </xf>
    <xf numFmtId="14" fontId="7" fillId="0" borderId="4" xfId="0" applyNumberFormat="1" applyFont="1" applyBorder="1" applyAlignment="1">
      <alignment horizontal="center" vertical="center"/>
    </xf>
    <xf numFmtId="14" fontId="7" fillId="0" borderId="5" xfId="0" applyNumberFormat="1" applyFont="1" applyBorder="1" applyAlignment="1">
      <alignment horizontal="center" vertical="center"/>
    </xf>
    <xf numFmtId="0" fontId="7" fillId="0" borderId="5" xfId="0" applyFont="1" applyBorder="1" applyAlignment="1">
      <alignment horizontal="center" vertical="center"/>
    </xf>
    <xf numFmtId="0" fontId="53" fillId="0" borderId="4" xfId="0" applyFont="1" applyBorder="1" applyAlignment="1">
      <alignment horizontal="center" vertical="center"/>
    </xf>
    <xf numFmtId="0" fontId="54" fillId="0" borderId="5" xfId="0" applyFont="1" applyBorder="1" applyAlignment="1">
      <alignment horizontal="center" vertical="center"/>
    </xf>
    <xf numFmtId="0" fontId="55" fillId="0" borderId="36" xfId="0" applyFont="1" applyBorder="1" applyAlignment="1">
      <alignment horizontal="center" vertical="center" wrapText="1"/>
    </xf>
    <xf numFmtId="0" fontId="0" fillId="0" borderId="37" xfId="0" applyBorder="1" applyAlignment="1">
      <alignment horizontal="center" vertical="center"/>
    </xf>
    <xf numFmtId="0" fontId="0" fillId="0" borderId="0" xfId="0" applyAlignment="1">
      <alignment horizontal="center" vertical="center"/>
    </xf>
    <xf numFmtId="0" fontId="0" fillId="0" borderId="42" xfId="0" applyBorder="1" applyAlignment="1">
      <alignment horizontal="center" vertical="center"/>
    </xf>
    <xf numFmtId="0" fontId="0" fillId="0" borderId="10" xfId="0" applyBorder="1" applyAlignment="1">
      <alignment horizontal="center" vertical="center"/>
    </xf>
    <xf numFmtId="0" fontId="0" fillId="0" borderId="40"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36" xfId="0" applyBorder="1" applyAlignment="1">
      <alignment horizontal="center" vertical="center" wrapText="1"/>
    </xf>
    <xf numFmtId="0" fontId="43" fillId="0" borderId="30" xfId="0" applyFont="1" applyBorder="1" applyAlignment="1">
      <alignment horizontal="center" vertical="center" wrapText="1"/>
    </xf>
    <xf numFmtId="0" fontId="43" fillId="0" borderId="31" xfId="0" applyFont="1" applyBorder="1" applyAlignment="1">
      <alignment horizontal="center" vertical="center" wrapText="1"/>
    </xf>
    <xf numFmtId="0" fontId="47" fillId="0" borderId="31" xfId="0" applyFont="1" applyBorder="1" applyAlignment="1">
      <alignment horizontal="left" vertical="center" wrapText="1"/>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4" borderId="20" xfId="0" applyFont="1" applyFill="1" applyBorder="1" applyAlignment="1">
      <alignment horizontal="center" vertical="center"/>
    </xf>
    <xf numFmtId="0" fontId="10" fillId="4" borderId="24" xfId="0" applyFont="1" applyFill="1" applyBorder="1" applyAlignment="1">
      <alignment horizontal="center" vertical="center"/>
    </xf>
    <xf numFmtId="0" fontId="19" fillId="4" borderId="20" xfId="0" applyFont="1" applyFill="1" applyBorder="1" applyAlignment="1">
      <alignment horizontal="left" vertical="center"/>
    </xf>
    <xf numFmtId="0" fontId="19" fillId="4" borderId="24" xfId="0" applyFont="1" applyFill="1" applyBorder="1" applyAlignment="1">
      <alignment horizontal="left" vertical="center"/>
    </xf>
    <xf numFmtId="0" fontId="10" fillId="4" borderId="11" xfId="0" applyFont="1" applyFill="1" applyBorder="1" applyAlignment="1">
      <alignment horizontal="center" vertical="center"/>
    </xf>
    <xf numFmtId="0" fontId="10" fillId="4" borderId="15" xfId="0" applyFont="1" applyFill="1" applyBorder="1" applyAlignment="1">
      <alignment horizontal="center" vertical="center"/>
    </xf>
    <xf numFmtId="0" fontId="10" fillId="4" borderId="25" xfId="0" applyFont="1" applyFill="1" applyBorder="1" applyAlignment="1">
      <alignment horizontal="center" vertical="center"/>
    </xf>
    <xf numFmtId="0" fontId="10" fillId="4" borderId="12" xfId="0" applyFont="1" applyFill="1" applyBorder="1" applyAlignment="1">
      <alignment horizontal="center" vertical="center"/>
    </xf>
    <xf numFmtId="0" fontId="10" fillId="4" borderId="16"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17" xfId="0" applyFont="1" applyFill="1" applyBorder="1" applyAlignment="1">
      <alignment horizontal="center" vertical="center"/>
    </xf>
    <xf numFmtId="10" fontId="10" fillId="4" borderId="14" xfId="1" applyNumberFormat="1" applyFont="1" applyFill="1" applyBorder="1" applyAlignment="1">
      <alignment horizontal="center" vertical="center"/>
    </xf>
    <xf numFmtId="10" fontId="10" fillId="4" borderId="0" xfId="1" applyNumberFormat="1" applyFont="1" applyFill="1" applyBorder="1" applyAlignment="1">
      <alignment horizontal="center" vertical="center"/>
    </xf>
    <xf numFmtId="10" fontId="10" fillId="4" borderId="13" xfId="1" applyNumberFormat="1" applyFont="1" applyFill="1" applyBorder="1" applyAlignment="1">
      <alignment horizontal="center" vertical="center"/>
    </xf>
    <xf numFmtId="10" fontId="10" fillId="4" borderId="17" xfId="1" applyNumberFormat="1" applyFont="1" applyFill="1" applyBorder="1" applyAlignment="1">
      <alignment horizontal="center" vertical="center"/>
    </xf>
    <xf numFmtId="0" fontId="10" fillId="4" borderId="18"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22" xfId="0" applyFont="1" applyFill="1" applyBorder="1" applyAlignment="1">
      <alignment horizontal="center" vertical="center"/>
    </xf>
    <xf numFmtId="0" fontId="10" fillId="4" borderId="0" xfId="0" applyFont="1" applyFill="1" applyAlignment="1">
      <alignment horizontal="center" vertical="center"/>
    </xf>
    <xf numFmtId="0" fontId="1"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vertical="center" wrapText="1"/>
    </xf>
    <xf numFmtId="0" fontId="0" fillId="0" borderId="5" xfId="0" applyBorder="1" applyAlignment="1">
      <alignment horizontal="center" vertical="center" wrapText="1"/>
    </xf>
  </cellXfs>
  <cellStyles count="13">
    <cellStyle name="AutoFormat-Optionen" xfId="4" xr:uid="{00000000-0005-0000-0000-000033000000}"/>
    <cellStyle name="百分比" xfId="1" builtinId="5"/>
    <cellStyle name="百分比 2" xfId="2" xr:uid="{00000000-0005-0000-0000-000031000000}"/>
    <cellStyle name="常规" xfId="0" builtinId="0"/>
    <cellStyle name="常规 12 3" xfId="9" xr:uid="{00000000-0005-0000-0000-000038000000}"/>
    <cellStyle name="常规 12 3 2" xfId="8" xr:uid="{00000000-0005-0000-0000-000037000000}"/>
    <cellStyle name="常规 2" xfId="10" xr:uid="{00000000-0005-0000-0000-000039000000}"/>
    <cellStyle name="常规 2 2 2" xfId="6" xr:uid="{00000000-0005-0000-0000-000035000000}"/>
    <cellStyle name="常规 2 3 2 16 2" xfId="3" xr:uid="{00000000-0005-0000-0000-000032000000}"/>
    <cellStyle name="常规 3" xfId="11" xr:uid="{00000000-0005-0000-0000-00003A000000}"/>
    <cellStyle name="常规 4" xfId="12" xr:uid="{00000000-0005-0000-0000-00003B000000}"/>
    <cellStyle name="常规 4 53" xfId="7" xr:uid="{00000000-0005-0000-0000-000036000000}"/>
    <cellStyle name="常规_Sheet2" xfId="5" xr:uid="{00000000-0005-0000-0000-000034000000}"/>
  </cellStyles>
  <dxfs count="4">
    <dxf>
      <numFmt numFmtId="184" formatCode=";;;"/>
      <fill>
        <patternFill patternType="solid">
          <bgColor theme="7" tint="0.79998168889431442"/>
        </patternFill>
      </fill>
    </dxf>
    <dxf>
      <numFmt numFmtId="184" formatCode=";;;"/>
      <fill>
        <patternFill patternType="gray0625">
          <fgColor rgb="FF5E95F0"/>
          <bgColor rgb="FF92D050"/>
        </patternFill>
      </fill>
    </dxf>
    <dxf>
      <font>
        <b/>
        <i val="0"/>
        <color rgb="FFFFCE2C"/>
      </font>
      <border>
        <left style="thin">
          <color rgb="FFFFCE2C"/>
        </left>
        <right style="thin">
          <color rgb="FFFFCE2C"/>
        </right>
        <top style="thin">
          <color rgb="FFFFCE2C"/>
        </top>
        <bottom style="thin">
          <color rgb="FFFFCE2C"/>
        </bottom>
      </border>
    </dxf>
    <dxf>
      <font>
        <b/>
        <i val="0"/>
        <color rgb="FFFFCE2C"/>
      </font>
      <border>
        <left style="thin">
          <color rgb="FFFFCE2C"/>
        </left>
        <right style="thin">
          <color rgb="FFFFCE2C"/>
        </right>
        <top style="thin">
          <color rgb="FFFFCE2C"/>
        </top>
        <bottom style="thin">
          <color rgb="FFFFCE2C"/>
        </bottom>
      </border>
    </dxf>
  </dxfs>
  <tableStyles count="0" defaultTableStyle="TableStyleMedium2" defaultPivotStyle="PivotStyleMedium9"/>
  <colors>
    <mruColors>
      <color rgb="FF00B050"/>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100853</xdr:colOff>
      <xdr:row>0</xdr:row>
      <xdr:rowOff>370509</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775335" cy="3702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723899</xdr:colOff>
      <xdr:row>89</xdr:row>
      <xdr:rowOff>27759</xdr:rowOff>
    </xdr:from>
    <xdr:to>
      <xdr:col>18</xdr:col>
      <xdr:colOff>132261</xdr:colOff>
      <xdr:row>107</xdr:row>
      <xdr:rowOff>124961</xdr:rowOff>
    </xdr:to>
    <xdr:sp macro="" textlink="">
      <xdr:nvSpPr>
        <xdr:cNvPr id="2" name="矩形 1">
          <a:extLst>
            <a:ext uri="{FF2B5EF4-FFF2-40B4-BE49-F238E27FC236}">
              <a16:creationId xmlns:a16="http://schemas.microsoft.com/office/drawing/2014/main" id="{00000000-0008-0000-0400-000002000000}"/>
            </a:ext>
          </a:extLst>
        </xdr:cNvPr>
        <xdr:cNvSpPr/>
      </xdr:nvSpPr>
      <xdr:spPr>
        <a:xfrm>
          <a:off x="13783945" y="7088505"/>
          <a:ext cx="5771515" cy="32975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800"/>
            <a:t>模式：按照活动开展顺序，计划完成时间，目前完成百分比，</a:t>
          </a:r>
          <a:endParaRPr lang="en-US" altLang="zh-CN" sz="1800"/>
        </a:p>
        <a:p>
          <a:pPr algn="l"/>
          <a:r>
            <a:rPr lang="zh-CN" altLang="en-US" sz="1800"/>
            <a:t>本页单元格填满，不涉及</a:t>
          </a:r>
          <a:r>
            <a:rPr lang="en-US" altLang="zh-CN" sz="1800"/>
            <a:t>NA</a:t>
          </a:r>
          <a:r>
            <a:rPr lang="zh-CN" altLang="en-US" sz="1800"/>
            <a:t>，没开始的填</a:t>
          </a:r>
          <a:r>
            <a:rPr lang="en-US" altLang="zh-CN" sz="1800"/>
            <a:t>0</a:t>
          </a:r>
        </a:p>
        <a:p>
          <a:pPr algn="l"/>
          <a:endParaRPr lang="en-US" altLang="zh-CN" sz="1800"/>
        </a:p>
        <a:p>
          <a:pPr algn="l"/>
          <a:endParaRPr lang="zh-CN" altLang="en-US" sz="1800"/>
        </a:p>
      </xdr:txBody>
    </xdr:sp>
    <xdr:clientData/>
  </xdr:twoCellAnchor>
  <xdr:twoCellAnchor editAs="oneCell">
    <xdr:from>
      <xdr:col>0</xdr:col>
      <xdr:colOff>0</xdr:colOff>
      <xdr:row>0</xdr:row>
      <xdr:rowOff>1</xdr:rowOff>
    </xdr:from>
    <xdr:to>
      <xdr:col>1</xdr:col>
      <xdr:colOff>293440</xdr:colOff>
      <xdr:row>1</xdr:row>
      <xdr:rowOff>8659</xdr:rowOff>
    </xdr:to>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743585" cy="3511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723899</xdr:colOff>
      <xdr:row>167</xdr:row>
      <xdr:rowOff>27759</xdr:rowOff>
    </xdr:from>
    <xdr:to>
      <xdr:col>18</xdr:col>
      <xdr:colOff>132261</xdr:colOff>
      <xdr:row>185</xdr:row>
      <xdr:rowOff>124961</xdr:rowOff>
    </xdr:to>
    <xdr:sp macro="" textlink="">
      <xdr:nvSpPr>
        <xdr:cNvPr id="2" name="矩形 1">
          <a:extLst>
            <a:ext uri="{FF2B5EF4-FFF2-40B4-BE49-F238E27FC236}">
              <a16:creationId xmlns:a16="http://schemas.microsoft.com/office/drawing/2014/main" id="{00000000-0008-0000-0500-000002000000}"/>
            </a:ext>
          </a:extLst>
        </xdr:cNvPr>
        <xdr:cNvSpPr/>
      </xdr:nvSpPr>
      <xdr:spPr>
        <a:xfrm>
          <a:off x="11369040" y="56135905"/>
          <a:ext cx="5462905" cy="32975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800"/>
            <a:t>模式：按照活动开展顺序，计划完成时间，目前完成百分比，</a:t>
          </a:r>
          <a:endParaRPr lang="en-US" altLang="zh-CN" sz="1800"/>
        </a:p>
        <a:p>
          <a:pPr algn="l"/>
          <a:r>
            <a:rPr lang="zh-CN" altLang="en-US" sz="1800"/>
            <a:t>本页单元格填满，不涉及</a:t>
          </a:r>
          <a:r>
            <a:rPr lang="en-US" altLang="zh-CN" sz="1800"/>
            <a:t>NA</a:t>
          </a:r>
          <a:r>
            <a:rPr lang="zh-CN" altLang="en-US" sz="1800"/>
            <a:t>，没开始的填</a:t>
          </a:r>
          <a:r>
            <a:rPr lang="en-US" altLang="zh-CN" sz="1800"/>
            <a:t>0</a:t>
          </a:r>
        </a:p>
        <a:p>
          <a:pPr algn="l"/>
          <a:endParaRPr lang="en-US" altLang="zh-CN" sz="1800"/>
        </a:p>
        <a:p>
          <a:pPr algn="l"/>
          <a:endParaRPr lang="zh-CN" altLang="en-US" sz="1800"/>
        </a:p>
      </xdr:txBody>
    </xdr:sp>
    <xdr:clientData/>
  </xdr:twoCellAnchor>
  <xdr:twoCellAnchor editAs="oneCell">
    <xdr:from>
      <xdr:col>0</xdr:col>
      <xdr:colOff>0</xdr:colOff>
      <xdr:row>0</xdr:row>
      <xdr:rowOff>1</xdr:rowOff>
    </xdr:from>
    <xdr:to>
      <xdr:col>1</xdr:col>
      <xdr:colOff>293440</xdr:colOff>
      <xdr:row>1</xdr:row>
      <xdr:rowOff>8659</xdr:rowOff>
    </xdr:to>
    <xdr:pic>
      <xdr:nvPicPr>
        <xdr:cNvPr id="3" name="图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0" y="0"/>
          <a:ext cx="743585" cy="3511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723899</xdr:colOff>
      <xdr:row>167</xdr:row>
      <xdr:rowOff>27759</xdr:rowOff>
    </xdr:from>
    <xdr:to>
      <xdr:col>18</xdr:col>
      <xdr:colOff>132261</xdr:colOff>
      <xdr:row>185</xdr:row>
      <xdr:rowOff>124961</xdr:rowOff>
    </xdr:to>
    <xdr:sp macro="" textlink="">
      <xdr:nvSpPr>
        <xdr:cNvPr id="2" name="矩形 1">
          <a:extLst>
            <a:ext uri="{FF2B5EF4-FFF2-40B4-BE49-F238E27FC236}">
              <a16:creationId xmlns:a16="http://schemas.microsoft.com/office/drawing/2014/main" id="{00000000-0008-0000-0600-000002000000}"/>
            </a:ext>
          </a:extLst>
        </xdr:cNvPr>
        <xdr:cNvSpPr/>
      </xdr:nvSpPr>
      <xdr:spPr>
        <a:xfrm>
          <a:off x="8281035" y="42762805"/>
          <a:ext cx="5462905" cy="32975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800"/>
            <a:t>模式：按照活动开展顺序，计划完成时间，目前完成百分比，</a:t>
          </a:r>
          <a:endParaRPr lang="en-US" altLang="zh-CN" sz="1800"/>
        </a:p>
        <a:p>
          <a:pPr algn="l"/>
          <a:r>
            <a:rPr lang="zh-CN" altLang="en-US" sz="1800"/>
            <a:t>本页单元格填满，不涉及</a:t>
          </a:r>
          <a:r>
            <a:rPr lang="en-US" altLang="zh-CN" sz="1800"/>
            <a:t>NA</a:t>
          </a:r>
          <a:r>
            <a:rPr lang="zh-CN" altLang="en-US" sz="1800"/>
            <a:t>，没开始的填</a:t>
          </a:r>
          <a:r>
            <a:rPr lang="en-US" altLang="zh-CN" sz="1800"/>
            <a:t>0</a:t>
          </a:r>
        </a:p>
        <a:p>
          <a:pPr algn="l"/>
          <a:endParaRPr lang="en-US" altLang="zh-CN" sz="1800"/>
        </a:p>
        <a:p>
          <a:pPr algn="l"/>
          <a:endParaRPr lang="zh-CN" altLang="en-US" sz="1800"/>
        </a:p>
      </xdr:txBody>
    </xdr:sp>
    <xdr:clientData/>
  </xdr:twoCellAnchor>
  <xdr:twoCellAnchor editAs="oneCell">
    <xdr:from>
      <xdr:col>0</xdr:col>
      <xdr:colOff>0</xdr:colOff>
      <xdr:row>0</xdr:row>
      <xdr:rowOff>1</xdr:rowOff>
    </xdr:from>
    <xdr:to>
      <xdr:col>1</xdr:col>
      <xdr:colOff>293440</xdr:colOff>
      <xdr:row>1</xdr:row>
      <xdr:rowOff>8659</xdr:rowOff>
    </xdr:to>
    <xdr:pic>
      <xdr:nvPicPr>
        <xdr:cNvPr id="3" name="图片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0" y="0"/>
          <a:ext cx="743585" cy="3511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723899</xdr:colOff>
      <xdr:row>167</xdr:row>
      <xdr:rowOff>27759</xdr:rowOff>
    </xdr:from>
    <xdr:to>
      <xdr:col>18</xdr:col>
      <xdr:colOff>132261</xdr:colOff>
      <xdr:row>185</xdr:row>
      <xdr:rowOff>124961</xdr:rowOff>
    </xdr:to>
    <xdr:sp macro="" textlink="">
      <xdr:nvSpPr>
        <xdr:cNvPr id="2" name="矩形 1">
          <a:extLst>
            <a:ext uri="{FF2B5EF4-FFF2-40B4-BE49-F238E27FC236}">
              <a16:creationId xmlns:a16="http://schemas.microsoft.com/office/drawing/2014/main" id="{00000000-0008-0000-0700-000002000000}"/>
            </a:ext>
          </a:extLst>
        </xdr:cNvPr>
        <xdr:cNvSpPr/>
      </xdr:nvSpPr>
      <xdr:spPr>
        <a:xfrm>
          <a:off x="11369040" y="56135905"/>
          <a:ext cx="5462905" cy="32975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800"/>
            <a:t>模式：按照活动开展顺序，计划完成时间，目前完成百分比，</a:t>
          </a:r>
          <a:endParaRPr lang="en-US" altLang="zh-CN" sz="1800"/>
        </a:p>
        <a:p>
          <a:pPr algn="l"/>
          <a:r>
            <a:rPr lang="zh-CN" altLang="en-US" sz="1800"/>
            <a:t>本页单元格填满，不涉及</a:t>
          </a:r>
          <a:r>
            <a:rPr lang="en-US" altLang="zh-CN" sz="1800"/>
            <a:t>NA</a:t>
          </a:r>
          <a:r>
            <a:rPr lang="zh-CN" altLang="en-US" sz="1800"/>
            <a:t>，没开始的填</a:t>
          </a:r>
          <a:r>
            <a:rPr lang="en-US" altLang="zh-CN" sz="1800"/>
            <a:t>0</a:t>
          </a:r>
        </a:p>
        <a:p>
          <a:pPr algn="l"/>
          <a:endParaRPr lang="en-US" altLang="zh-CN" sz="1800"/>
        </a:p>
        <a:p>
          <a:pPr algn="l"/>
          <a:endParaRPr lang="zh-CN" altLang="en-US" sz="1800"/>
        </a:p>
      </xdr:txBody>
    </xdr:sp>
    <xdr:clientData/>
  </xdr:twoCellAnchor>
  <xdr:twoCellAnchor editAs="oneCell">
    <xdr:from>
      <xdr:col>0</xdr:col>
      <xdr:colOff>0</xdr:colOff>
      <xdr:row>0</xdr:row>
      <xdr:rowOff>1</xdr:rowOff>
    </xdr:from>
    <xdr:to>
      <xdr:col>1</xdr:col>
      <xdr:colOff>293440</xdr:colOff>
      <xdr:row>1</xdr:row>
      <xdr:rowOff>8659</xdr:rowOff>
    </xdr:to>
    <xdr:pic>
      <xdr:nvPicPr>
        <xdr:cNvPr id="3" name="图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0" y="0"/>
          <a:ext cx="743585" cy="35115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9"/>
  <sheetViews>
    <sheetView zoomScale="70" zoomScaleNormal="70" workbookViewId="0">
      <selection activeCell="E6" sqref="E6:E7"/>
    </sheetView>
  </sheetViews>
  <sheetFormatPr baseColWidth="10" defaultColWidth="9" defaultRowHeight="14"/>
  <cols>
    <col min="1" max="3" width="9.6640625" customWidth="1"/>
    <col min="4" max="4" width="16.1640625" customWidth="1"/>
    <col min="5" max="5" width="9.6640625" customWidth="1"/>
    <col min="6" max="18" width="15.6640625" customWidth="1"/>
    <col min="19" max="19" width="10.5" customWidth="1"/>
    <col min="20" max="20" width="10.6640625" customWidth="1"/>
  </cols>
  <sheetData>
    <row r="1" spans="1:20" ht="30" customHeight="1">
      <c r="A1" s="165" t="s">
        <v>0</v>
      </c>
      <c r="B1" s="165"/>
      <c r="C1" s="165"/>
      <c r="D1" s="165"/>
      <c r="E1" s="165"/>
      <c r="F1" s="165"/>
      <c r="G1" s="165"/>
      <c r="H1" s="165"/>
      <c r="I1" s="165"/>
      <c r="J1" s="165"/>
      <c r="K1" s="165"/>
      <c r="L1" s="165"/>
      <c r="M1" s="165"/>
      <c r="N1" s="165"/>
      <c r="O1" s="165"/>
      <c r="P1" s="165"/>
      <c r="Q1" s="165"/>
      <c r="R1" s="165"/>
      <c r="S1" s="165"/>
      <c r="T1" s="165"/>
    </row>
    <row r="2" spans="1:20" ht="30" customHeight="1">
      <c r="A2" s="166" t="s">
        <v>1</v>
      </c>
      <c r="B2" s="167"/>
      <c r="C2" s="167"/>
      <c r="D2" s="167"/>
      <c r="E2" s="167"/>
      <c r="F2" s="167"/>
      <c r="G2" s="167"/>
      <c r="H2" s="168"/>
      <c r="I2" s="5"/>
      <c r="J2" s="5"/>
      <c r="K2" s="5"/>
      <c r="L2" s="5"/>
      <c r="M2" s="5"/>
      <c r="N2" s="5"/>
      <c r="O2" s="5"/>
      <c r="P2" s="5"/>
      <c r="Q2" s="5"/>
      <c r="R2" s="5"/>
      <c r="S2" s="169"/>
      <c r="T2" s="169"/>
    </row>
    <row r="3" spans="1:20" ht="30" customHeight="1">
      <c r="A3" s="139" t="s">
        <v>2</v>
      </c>
      <c r="B3" s="139" t="s">
        <v>3</v>
      </c>
      <c r="C3" s="139" t="s">
        <v>4</v>
      </c>
      <c r="D3" s="139" t="s">
        <v>5</v>
      </c>
      <c r="E3" s="139" t="s">
        <v>6</v>
      </c>
      <c r="F3" s="139"/>
      <c r="G3" s="139" t="s">
        <v>7</v>
      </c>
      <c r="H3" s="139" t="s">
        <v>8</v>
      </c>
      <c r="I3" s="139" t="s">
        <v>9</v>
      </c>
      <c r="J3" s="139" t="s">
        <v>10</v>
      </c>
      <c r="K3" s="139" t="s">
        <v>11</v>
      </c>
      <c r="L3" s="139" t="s">
        <v>12</v>
      </c>
      <c r="M3" s="139" t="s">
        <v>13</v>
      </c>
      <c r="N3" s="139" t="s">
        <v>14</v>
      </c>
      <c r="O3" s="139" t="s">
        <v>15</v>
      </c>
      <c r="P3" s="139" t="s">
        <v>16</v>
      </c>
      <c r="Q3" s="139" t="s">
        <v>17</v>
      </c>
      <c r="R3" s="139" t="s">
        <v>18</v>
      </c>
      <c r="S3" s="170" t="s">
        <v>19</v>
      </c>
      <c r="T3" s="170"/>
    </row>
    <row r="4" spans="1:20" ht="30" customHeight="1">
      <c r="A4" s="171" t="s">
        <v>20</v>
      </c>
      <c r="B4" s="174" t="s">
        <v>21</v>
      </c>
      <c r="C4" s="174" t="s">
        <v>22</v>
      </c>
      <c r="D4" s="170" t="s">
        <v>23</v>
      </c>
      <c r="E4" s="170">
        <v>7</v>
      </c>
      <c r="F4" s="139" t="s">
        <v>24</v>
      </c>
      <c r="G4" s="140"/>
      <c r="H4" s="140"/>
      <c r="I4" s="140"/>
      <c r="J4" s="140"/>
      <c r="K4" s="140"/>
      <c r="L4" s="140"/>
      <c r="M4" s="140"/>
      <c r="N4" s="140"/>
      <c r="O4" s="140"/>
      <c r="P4" s="140"/>
      <c r="Q4" s="177"/>
      <c r="R4" s="181" t="s">
        <v>25</v>
      </c>
      <c r="S4" s="170"/>
      <c r="T4" s="170"/>
    </row>
    <row r="5" spans="1:20" ht="30" customHeight="1">
      <c r="A5" s="172"/>
      <c r="B5" s="175"/>
      <c r="C5" s="175"/>
      <c r="D5" s="170"/>
      <c r="E5" s="170"/>
      <c r="F5" s="139" t="s">
        <v>26</v>
      </c>
      <c r="G5" s="141">
        <v>7</v>
      </c>
      <c r="H5" s="8"/>
      <c r="I5" s="8"/>
      <c r="J5" s="8"/>
      <c r="K5" s="8"/>
      <c r="L5" s="8"/>
      <c r="M5" s="8"/>
      <c r="N5" s="8"/>
      <c r="O5" s="8"/>
      <c r="P5" s="142"/>
      <c r="Q5" s="177"/>
      <c r="R5" s="182"/>
      <c r="S5" s="170"/>
      <c r="T5" s="170"/>
    </row>
    <row r="6" spans="1:20" ht="30" customHeight="1">
      <c r="A6" s="172"/>
      <c r="B6" s="175"/>
      <c r="C6" s="175"/>
      <c r="D6" s="170" t="s">
        <v>27</v>
      </c>
      <c r="E6" s="170">
        <v>39</v>
      </c>
      <c r="F6" s="139" t="s">
        <v>24</v>
      </c>
      <c r="G6" s="140"/>
      <c r="H6" s="140"/>
      <c r="I6" s="140"/>
      <c r="J6" s="140"/>
      <c r="K6" s="140"/>
      <c r="L6" s="140"/>
      <c r="M6" s="140"/>
      <c r="N6" s="140"/>
      <c r="O6" s="140"/>
      <c r="P6" s="140"/>
      <c r="Q6" s="178"/>
      <c r="R6" s="181" t="s">
        <v>25</v>
      </c>
      <c r="S6" s="170"/>
      <c r="T6" s="170"/>
    </row>
    <row r="7" spans="1:20" ht="30" customHeight="1">
      <c r="A7" s="172"/>
      <c r="B7" s="175"/>
      <c r="C7" s="175"/>
      <c r="D7" s="170"/>
      <c r="E7" s="170"/>
      <c r="F7" s="139" t="s">
        <v>26</v>
      </c>
      <c r="G7" s="141">
        <v>39</v>
      </c>
      <c r="H7" s="8"/>
      <c r="I7" s="8"/>
      <c r="J7" s="8"/>
      <c r="K7" s="8"/>
      <c r="L7" s="8"/>
      <c r="M7" s="8"/>
      <c r="N7" s="8"/>
      <c r="O7" s="8"/>
      <c r="P7" s="142"/>
      <c r="Q7" s="179"/>
      <c r="R7" s="182"/>
      <c r="S7" s="170"/>
      <c r="T7" s="170"/>
    </row>
    <row r="8" spans="1:20" ht="30" customHeight="1">
      <c r="A8" s="172"/>
      <c r="B8" s="175"/>
      <c r="C8" s="175"/>
      <c r="D8" s="170" t="s">
        <v>28</v>
      </c>
      <c r="E8" s="170">
        <v>127</v>
      </c>
      <c r="F8" s="139" t="s">
        <v>24</v>
      </c>
      <c r="G8" s="140"/>
      <c r="H8" s="140"/>
      <c r="I8" s="140"/>
      <c r="J8" s="140"/>
      <c r="K8" s="140"/>
      <c r="L8" s="140"/>
      <c r="M8" s="140"/>
      <c r="N8" s="140"/>
      <c r="O8" s="140"/>
      <c r="P8" s="140"/>
      <c r="Q8" s="178"/>
      <c r="R8" s="181" t="s">
        <v>25</v>
      </c>
      <c r="S8" s="170"/>
      <c r="T8" s="170"/>
    </row>
    <row r="9" spans="1:20" ht="30" customHeight="1">
      <c r="A9" s="172"/>
      <c r="B9" s="175"/>
      <c r="C9" s="175"/>
      <c r="D9" s="170"/>
      <c r="E9" s="170"/>
      <c r="F9" s="139" t="s">
        <v>26</v>
      </c>
      <c r="G9" s="141">
        <v>106</v>
      </c>
      <c r="H9" s="8"/>
      <c r="I9" s="8"/>
      <c r="J9" s="8"/>
      <c r="K9" s="8"/>
      <c r="L9" s="8"/>
      <c r="M9" s="8"/>
      <c r="N9" s="8"/>
      <c r="O9" s="8"/>
      <c r="P9" s="142"/>
      <c r="Q9" s="180"/>
      <c r="R9" s="182"/>
      <c r="S9" s="170"/>
      <c r="T9" s="170"/>
    </row>
    <row r="10" spans="1:20" ht="30" customHeight="1">
      <c r="A10" s="172"/>
      <c r="B10" s="175"/>
      <c r="C10" s="175"/>
      <c r="D10" s="170" t="s">
        <v>29</v>
      </c>
      <c r="E10" s="170">
        <v>34</v>
      </c>
      <c r="F10" s="139" t="s">
        <v>24</v>
      </c>
      <c r="G10" s="140"/>
      <c r="H10" s="140"/>
      <c r="I10" s="140"/>
      <c r="J10" s="140"/>
      <c r="K10" s="140"/>
      <c r="L10" s="140"/>
      <c r="M10" s="140"/>
      <c r="N10" s="140"/>
      <c r="O10" s="140"/>
      <c r="P10" s="140"/>
      <c r="Q10" s="178"/>
      <c r="R10" s="181" t="s">
        <v>25</v>
      </c>
      <c r="S10" s="170"/>
      <c r="T10" s="170"/>
    </row>
    <row r="11" spans="1:20" ht="30" customHeight="1">
      <c r="A11" s="172"/>
      <c r="B11" s="175"/>
      <c r="C11" s="175"/>
      <c r="D11" s="170"/>
      <c r="E11" s="170"/>
      <c r="F11" s="139" t="s">
        <v>26</v>
      </c>
      <c r="G11" s="141">
        <v>26</v>
      </c>
      <c r="H11" s="8"/>
      <c r="I11" s="8"/>
      <c r="J11" s="8"/>
      <c r="K11" s="8"/>
      <c r="L11" s="8"/>
      <c r="M11" s="8"/>
      <c r="N11" s="8"/>
      <c r="O11" s="8"/>
      <c r="P11" s="142"/>
      <c r="Q11" s="180"/>
      <c r="R11" s="182"/>
      <c r="S11" s="170"/>
      <c r="T11" s="170"/>
    </row>
    <row r="12" spans="1:20" ht="30" customHeight="1">
      <c r="A12" s="172"/>
      <c r="B12" s="175"/>
      <c r="C12" s="175"/>
      <c r="D12" s="170" t="s">
        <v>30</v>
      </c>
      <c r="E12" s="170">
        <v>28</v>
      </c>
      <c r="F12" s="139" t="s">
        <v>24</v>
      </c>
      <c r="G12" s="140"/>
      <c r="H12" s="140"/>
      <c r="I12" s="140"/>
      <c r="J12" s="140"/>
      <c r="K12" s="140"/>
      <c r="L12" s="140"/>
      <c r="M12" s="140"/>
      <c r="N12" s="140"/>
      <c r="O12" s="140"/>
      <c r="P12" s="140"/>
      <c r="Q12" s="178"/>
      <c r="R12" s="181" t="s">
        <v>25</v>
      </c>
      <c r="S12" s="170"/>
      <c r="T12" s="170"/>
    </row>
    <row r="13" spans="1:20" ht="30" customHeight="1">
      <c r="A13" s="172"/>
      <c r="B13" s="175"/>
      <c r="C13" s="175"/>
      <c r="D13" s="170"/>
      <c r="E13" s="170"/>
      <c r="F13" s="139" t="s">
        <v>26</v>
      </c>
      <c r="G13" s="141">
        <v>1</v>
      </c>
      <c r="H13" s="8"/>
      <c r="I13" s="8"/>
      <c r="J13" s="8"/>
      <c r="K13" s="8"/>
      <c r="L13" s="8"/>
      <c r="M13" s="8"/>
      <c r="N13" s="8"/>
      <c r="O13" s="8"/>
      <c r="P13" s="142"/>
      <c r="Q13" s="180"/>
      <c r="R13" s="182"/>
      <c r="S13" s="170"/>
      <c r="T13" s="170"/>
    </row>
    <row r="14" spans="1:20" ht="30" customHeight="1">
      <c r="A14" s="172"/>
      <c r="B14" s="175"/>
      <c r="C14" s="175"/>
      <c r="D14" s="170" t="s">
        <v>31</v>
      </c>
      <c r="E14" s="170">
        <v>30</v>
      </c>
      <c r="F14" s="139" t="s">
        <v>24</v>
      </c>
      <c r="G14" s="140"/>
      <c r="H14" s="140"/>
      <c r="I14" s="140"/>
      <c r="J14" s="140"/>
      <c r="K14" s="140"/>
      <c r="L14" s="140"/>
      <c r="M14" s="140"/>
      <c r="N14" s="140"/>
      <c r="O14" s="140"/>
      <c r="P14" s="140"/>
      <c r="Q14" s="178"/>
      <c r="R14" s="181" t="s">
        <v>25</v>
      </c>
      <c r="S14" s="170"/>
      <c r="T14" s="170"/>
    </row>
    <row r="15" spans="1:20" ht="30" customHeight="1">
      <c r="A15" s="172"/>
      <c r="B15" s="175"/>
      <c r="C15" s="175"/>
      <c r="D15" s="170"/>
      <c r="E15" s="170"/>
      <c r="F15" s="139" t="s">
        <v>26</v>
      </c>
      <c r="G15" s="141">
        <v>9</v>
      </c>
      <c r="H15" s="8"/>
      <c r="I15" s="8"/>
      <c r="J15" s="8"/>
      <c r="K15" s="8"/>
      <c r="L15" s="8"/>
      <c r="M15" s="8"/>
      <c r="N15" s="8"/>
      <c r="O15" s="8"/>
      <c r="P15" s="142"/>
      <c r="Q15" s="180"/>
      <c r="R15" s="182"/>
      <c r="S15" s="170"/>
      <c r="T15" s="170"/>
    </row>
    <row r="16" spans="1:20" ht="30" customHeight="1">
      <c r="A16" s="172"/>
      <c r="B16" s="175"/>
      <c r="C16" s="175"/>
      <c r="D16" s="170" t="s">
        <v>32</v>
      </c>
      <c r="E16" s="170">
        <v>3</v>
      </c>
      <c r="F16" s="139" t="s">
        <v>24</v>
      </c>
      <c r="G16" s="140"/>
      <c r="H16" s="140"/>
      <c r="I16" s="140"/>
      <c r="J16" s="140"/>
      <c r="K16" s="140"/>
      <c r="L16" s="140"/>
      <c r="M16" s="140"/>
      <c r="N16" s="140"/>
      <c r="O16" s="140"/>
      <c r="P16" s="140"/>
      <c r="Q16" s="178"/>
      <c r="R16" s="181" t="s">
        <v>25</v>
      </c>
      <c r="S16" s="170"/>
      <c r="T16" s="170"/>
    </row>
    <row r="17" spans="1:20" ht="30" customHeight="1">
      <c r="A17" s="172"/>
      <c r="B17" s="175"/>
      <c r="C17" s="175"/>
      <c r="D17" s="170"/>
      <c r="E17" s="170"/>
      <c r="F17" s="139" t="s">
        <v>26</v>
      </c>
      <c r="G17" s="141">
        <v>3</v>
      </c>
      <c r="H17" s="8"/>
      <c r="I17" s="8"/>
      <c r="J17" s="8"/>
      <c r="K17" s="8"/>
      <c r="L17" s="8"/>
      <c r="M17" s="8"/>
      <c r="N17" s="8"/>
      <c r="O17" s="8"/>
      <c r="P17" s="142"/>
      <c r="Q17" s="180"/>
      <c r="R17" s="182"/>
      <c r="S17" s="170"/>
      <c r="T17" s="170"/>
    </row>
    <row r="18" spans="1:20" ht="30" customHeight="1">
      <c r="A18" s="172"/>
      <c r="B18" s="175"/>
      <c r="C18" s="175"/>
      <c r="D18" s="170" t="s">
        <v>33</v>
      </c>
      <c r="E18" s="170">
        <v>2</v>
      </c>
      <c r="F18" s="139" t="s">
        <v>24</v>
      </c>
      <c r="G18" s="140"/>
      <c r="H18" s="140"/>
      <c r="I18" s="140"/>
      <c r="J18" s="140"/>
      <c r="K18" s="140"/>
      <c r="L18" s="140"/>
      <c r="M18" s="140"/>
      <c r="N18" s="140"/>
      <c r="O18" s="140"/>
      <c r="P18" s="140"/>
      <c r="Q18" s="178"/>
      <c r="R18" s="181" t="s">
        <v>25</v>
      </c>
      <c r="S18" s="170"/>
      <c r="T18" s="170"/>
    </row>
    <row r="19" spans="1:20" ht="30" customHeight="1">
      <c r="A19" s="172"/>
      <c r="B19" s="175"/>
      <c r="C19" s="175"/>
      <c r="D19" s="170"/>
      <c r="E19" s="170"/>
      <c r="F19" s="139" t="s">
        <v>26</v>
      </c>
      <c r="G19" s="141">
        <v>2</v>
      </c>
      <c r="H19" s="8"/>
      <c r="I19" s="8"/>
      <c r="J19" s="8"/>
      <c r="K19" s="8"/>
      <c r="L19" s="8"/>
      <c r="M19" s="8"/>
      <c r="N19" s="8"/>
      <c r="O19" s="8"/>
      <c r="P19" s="142"/>
      <c r="Q19" s="180"/>
      <c r="R19" s="182"/>
      <c r="S19" s="170"/>
      <c r="T19" s="170"/>
    </row>
    <row r="20" spans="1:20" ht="30" customHeight="1">
      <c r="A20" s="172"/>
      <c r="B20" s="175"/>
      <c r="C20" s="175"/>
      <c r="D20" s="143"/>
      <c r="E20" s="143"/>
      <c r="F20" s="143"/>
      <c r="G20" s="144"/>
      <c r="H20" s="145"/>
      <c r="I20" s="145"/>
      <c r="J20" s="145"/>
      <c r="K20" s="145"/>
      <c r="L20" s="145"/>
      <c r="M20" s="145"/>
      <c r="N20" s="145"/>
      <c r="O20" s="145"/>
      <c r="P20" s="146"/>
      <c r="Q20" s="143"/>
      <c r="R20" s="147"/>
      <c r="S20" s="143"/>
      <c r="T20" s="148"/>
    </row>
    <row r="21" spans="1:20" ht="30" customHeight="1">
      <c r="A21" s="173"/>
      <c r="B21" s="176"/>
      <c r="C21" s="176"/>
      <c r="D21" s="149"/>
      <c r="E21" s="149"/>
      <c r="F21" s="149"/>
      <c r="G21" s="149"/>
      <c r="H21" s="149"/>
      <c r="I21" s="149"/>
      <c r="J21" s="149"/>
      <c r="K21" s="149"/>
      <c r="L21" s="149"/>
      <c r="M21" s="149"/>
      <c r="N21" s="149"/>
      <c r="O21" s="149"/>
      <c r="P21" s="149"/>
      <c r="Q21" s="149"/>
      <c r="R21" s="149"/>
      <c r="S21" s="149"/>
      <c r="T21" s="150"/>
    </row>
    <row r="22" spans="1:20" ht="30" customHeight="1"/>
    <row r="23" spans="1:20" ht="30" customHeight="1">
      <c r="A23" s="166" t="s">
        <v>34</v>
      </c>
      <c r="B23" s="167"/>
      <c r="C23" s="167"/>
      <c r="D23" s="167"/>
      <c r="E23" s="167"/>
      <c r="F23" s="167"/>
      <c r="G23" s="167"/>
      <c r="H23" s="167"/>
      <c r="I23" s="151"/>
      <c r="J23" s="151"/>
      <c r="K23" s="151"/>
      <c r="L23" s="151"/>
      <c r="M23" s="151"/>
      <c r="N23" s="151"/>
      <c r="O23" s="151"/>
      <c r="P23" s="151"/>
      <c r="Q23" s="151"/>
      <c r="R23" s="151"/>
      <c r="S23" s="151"/>
      <c r="T23" s="152"/>
    </row>
    <row r="24" spans="1:20" ht="30" customHeight="1">
      <c r="A24" s="191" t="s">
        <v>35</v>
      </c>
      <c r="B24" s="184"/>
      <c r="C24" s="184"/>
      <c r="D24" s="184"/>
      <c r="E24" s="184"/>
      <c r="F24" s="184"/>
      <c r="G24" s="184"/>
      <c r="H24" s="184"/>
      <c r="I24" s="185"/>
      <c r="J24" s="185"/>
      <c r="K24" s="185"/>
      <c r="L24" s="185"/>
      <c r="M24" s="185"/>
      <c r="N24" s="185"/>
      <c r="O24" s="185"/>
      <c r="P24" s="185"/>
      <c r="Q24" s="185"/>
      <c r="R24" s="185"/>
      <c r="S24" s="185"/>
      <c r="T24" s="186"/>
    </row>
    <row r="25" spans="1:20" ht="30" customHeight="1">
      <c r="A25" s="187"/>
      <c r="B25" s="185"/>
      <c r="C25" s="185"/>
      <c r="D25" s="185"/>
      <c r="E25" s="185"/>
      <c r="F25" s="185"/>
      <c r="G25" s="185"/>
      <c r="H25" s="185"/>
      <c r="I25" s="185"/>
      <c r="J25" s="185"/>
      <c r="K25" s="185"/>
      <c r="L25" s="185"/>
      <c r="M25" s="185"/>
      <c r="N25" s="185"/>
      <c r="O25" s="185"/>
      <c r="P25" s="185"/>
      <c r="Q25" s="185"/>
      <c r="R25" s="185"/>
      <c r="S25" s="185"/>
      <c r="T25" s="186"/>
    </row>
    <row r="26" spans="1:20" ht="30" customHeight="1">
      <c r="A26" s="187"/>
      <c r="B26" s="185"/>
      <c r="C26" s="185"/>
      <c r="D26" s="185"/>
      <c r="E26" s="185"/>
      <c r="F26" s="185"/>
      <c r="G26" s="185"/>
      <c r="H26" s="185"/>
      <c r="I26" s="185"/>
      <c r="J26" s="185"/>
      <c r="K26" s="185"/>
      <c r="L26" s="185"/>
      <c r="M26" s="185"/>
      <c r="N26" s="185"/>
      <c r="O26" s="185"/>
      <c r="P26" s="185"/>
      <c r="Q26" s="185"/>
      <c r="R26" s="185"/>
      <c r="S26" s="185"/>
      <c r="T26" s="186"/>
    </row>
    <row r="27" spans="1:20" ht="30" customHeight="1">
      <c r="A27" s="187"/>
      <c r="B27" s="185"/>
      <c r="C27" s="185"/>
      <c r="D27" s="185"/>
      <c r="E27" s="185"/>
      <c r="F27" s="185"/>
      <c r="G27" s="185"/>
      <c r="H27" s="185"/>
      <c r="I27" s="185"/>
      <c r="J27" s="185"/>
      <c r="K27" s="185"/>
      <c r="L27" s="185"/>
      <c r="M27" s="185"/>
      <c r="N27" s="185"/>
      <c r="O27" s="185"/>
      <c r="P27" s="185"/>
      <c r="Q27" s="185"/>
      <c r="R27" s="185"/>
      <c r="S27" s="185"/>
      <c r="T27" s="186"/>
    </row>
    <row r="28" spans="1:20" ht="30" customHeight="1">
      <c r="A28" s="188"/>
      <c r="B28" s="189"/>
      <c r="C28" s="189"/>
      <c r="D28" s="189"/>
      <c r="E28" s="189"/>
      <c r="F28" s="189"/>
      <c r="G28" s="189"/>
      <c r="H28" s="189"/>
      <c r="I28" s="189"/>
      <c r="J28" s="189"/>
      <c r="K28" s="189"/>
      <c r="L28" s="189"/>
      <c r="M28" s="189"/>
      <c r="N28" s="189"/>
      <c r="O28" s="189"/>
      <c r="P28" s="189"/>
      <c r="Q28" s="189"/>
      <c r="R28" s="189"/>
      <c r="S28" s="189"/>
      <c r="T28" s="190"/>
    </row>
    <row r="29" spans="1:20" ht="30" customHeight="1"/>
    <row r="30" spans="1:20" ht="30" customHeight="1">
      <c r="A30" s="166" t="s">
        <v>36</v>
      </c>
      <c r="B30" s="167"/>
      <c r="C30" s="167"/>
      <c r="D30" s="167"/>
      <c r="E30" s="167"/>
      <c r="F30" s="167"/>
      <c r="G30" s="167"/>
      <c r="H30" s="167"/>
      <c r="I30" s="151"/>
      <c r="J30" s="151"/>
      <c r="K30" s="151"/>
      <c r="L30" s="151"/>
      <c r="M30" s="151"/>
      <c r="N30" s="151"/>
      <c r="O30" s="151"/>
      <c r="P30" s="151"/>
      <c r="Q30" s="151"/>
      <c r="R30" s="151"/>
      <c r="S30" s="151"/>
      <c r="T30" s="152"/>
    </row>
    <row r="31" spans="1:20" ht="30" customHeight="1">
      <c r="A31" s="191" t="s">
        <v>37</v>
      </c>
      <c r="B31" s="184"/>
      <c r="C31" s="184"/>
      <c r="D31" s="184"/>
      <c r="E31" s="184"/>
      <c r="F31" s="184"/>
      <c r="G31" s="184"/>
      <c r="H31" s="184"/>
      <c r="I31" s="185"/>
      <c r="J31" s="185"/>
      <c r="K31" s="185"/>
      <c r="L31" s="185"/>
      <c r="M31" s="185"/>
      <c r="N31" s="185"/>
      <c r="O31" s="185"/>
      <c r="P31" s="185"/>
      <c r="Q31" s="185"/>
      <c r="R31" s="185"/>
      <c r="S31" s="185"/>
      <c r="T31" s="186"/>
    </row>
    <row r="32" spans="1:20" ht="30" customHeight="1">
      <c r="A32" s="187"/>
      <c r="B32" s="185"/>
      <c r="C32" s="185"/>
      <c r="D32" s="185"/>
      <c r="E32" s="185"/>
      <c r="F32" s="185"/>
      <c r="G32" s="185"/>
      <c r="H32" s="185"/>
      <c r="I32" s="185"/>
      <c r="J32" s="185"/>
      <c r="K32" s="185"/>
      <c r="L32" s="185"/>
      <c r="M32" s="185"/>
      <c r="N32" s="185"/>
      <c r="O32" s="185"/>
      <c r="P32" s="185"/>
      <c r="Q32" s="185"/>
      <c r="R32" s="185"/>
      <c r="S32" s="185"/>
      <c r="T32" s="186"/>
    </row>
    <row r="33" spans="1:20" ht="30" customHeight="1">
      <c r="A33" s="187"/>
      <c r="B33" s="185"/>
      <c r="C33" s="185"/>
      <c r="D33" s="185"/>
      <c r="E33" s="185"/>
      <c r="F33" s="185"/>
      <c r="G33" s="185"/>
      <c r="H33" s="185"/>
      <c r="I33" s="185"/>
      <c r="J33" s="185"/>
      <c r="K33" s="185"/>
      <c r="L33" s="185"/>
      <c r="M33" s="185"/>
      <c r="N33" s="185"/>
      <c r="O33" s="185"/>
      <c r="P33" s="185"/>
      <c r="Q33" s="185"/>
      <c r="R33" s="185"/>
      <c r="S33" s="185"/>
      <c r="T33" s="186"/>
    </row>
    <row r="34" spans="1:20" ht="30" customHeight="1">
      <c r="A34" s="187"/>
      <c r="B34" s="185"/>
      <c r="C34" s="185"/>
      <c r="D34" s="185"/>
      <c r="E34" s="185"/>
      <c r="F34" s="185"/>
      <c r="G34" s="185"/>
      <c r="H34" s="185"/>
      <c r="I34" s="185"/>
      <c r="J34" s="185"/>
      <c r="K34" s="185"/>
      <c r="L34" s="185"/>
      <c r="M34" s="185"/>
      <c r="N34" s="185"/>
      <c r="O34" s="185"/>
      <c r="P34" s="185"/>
      <c r="Q34" s="185"/>
      <c r="R34" s="185"/>
      <c r="S34" s="185"/>
      <c r="T34" s="186"/>
    </row>
    <row r="35" spans="1:20" ht="30" customHeight="1">
      <c r="A35" s="188"/>
      <c r="B35" s="189"/>
      <c r="C35" s="189"/>
      <c r="D35" s="189"/>
      <c r="E35" s="189"/>
      <c r="F35" s="189"/>
      <c r="G35" s="189"/>
      <c r="H35" s="189"/>
      <c r="I35" s="189"/>
      <c r="J35" s="189"/>
      <c r="K35" s="189"/>
      <c r="L35" s="189"/>
      <c r="M35" s="189"/>
      <c r="N35" s="189"/>
      <c r="O35" s="189"/>
      <c r="P35" s="189"/>
      <c r="Q35" s="189"/>
      <c r="R35" s="189"/>
      <c r="S35" s="189"/>
      <c r="T35" s="190"/>
    </row>
    <row r="36" spans="1:20" ht="30" customHeight="1"/>
    <row r="37" spans="1:20" ht="30" customHeight="1">
      <c r="A37" s="166" t="s">
        <v>38</v>
      </c>
      <c r="B37" s="167"/>
      <c r="C37" s="167"/>
      <c r="D37" s="167"/>
      <c r="E37" s="167"/>
      <c r="F37" s="167"/>
      <c r="G37" s="167"/>
      <c r="H37" s="167"/>
      <c r="I37" s="151"/>
      <c r="J37" s="151"/>
      <c r="K37" s="151"/>
      <c r="L37" s="151"/>
      <c r="M37" s="151"/>
      <c r="N37" s="151"/>
      <c r="O37" s="151"/>
      <c r="P37" s="151"/>
      <c r="Q37" s="151"/>
      <c r="R37" s="151"/>
      <c r="S37" s="151"/>
      <c r="T37" s="152"/>
    </row>
    <row r="38" spans="1:20" ht="30" customHeight="1">
      <c r="A38" s="183" t="s">
        <v>39</v>
      </c>
      <c r="B38" s="184"/>
      <c r="C38" s="184"/>
      <c r="D38" s="184"/>
      <c r="E38" s="184"/>
      <c r="F38" s="184"/>
      <c r="G38" s="184"/>
      <c r="H38" s="184"/>
      <c r="I38" s="185"/>
      <c r="J38" s="185"/>
      <c r="K38" s="185"/>
      <c r="L38" s="185"/>
      <c r="M38" s="185"/>
      <c r="N38" s="185"/>
      <c r="O38" s="185"/>
      <c r="P38" s="185"/>
      <c r="Q38" s="185"/>
      <c r="R38" s="185"/>
      <c r="S38" s="185"/>
      <c r="T38" s="186"/>
    </row>
    <row r="39" spans="1:20" ht="30" customHeight="1">
      <c r="A39" s="187"/>
      <c r="B39" s="185"/>
      <c r="C39" s="185"/>
      <c r="D39" s="185"/>
      <c r="E39" s="185"/>
      <c r="F39" s="185"/>
      <c r="G39" s="185"/>
      <c r="H39" s="185"/>
      <c r="I39" s="185"/>
      <c r="J39" s="185"/>
      <c r="K39" s="185"/>
      <c r="L39" s="185"/>
      <c r="M39" s="185"/>
      <c r="N39" s="185"/>
      <c r="O39" s="185"/>
      <c r="P39" s="185"/>
      <c r="Q39" s="185"/>
      <c r="R39" s="185"/>
      <c r="S39" s="185"/>
      <c r="T39" s="186"/>
    </row>
    <row r="40" spans="1:20" ht="30" customHeight="1">
      <c r="A40" s="187"/>
      <c r="B40" s="185"/>
      <c r="C40" s="185"/>
      <c r="D40" s="185"/>
      <c r="E40" s="185"/>
      <c r="F40" s="185"/>
      <c r="G40" s="185"/>
      <c r="H40" s="185"/>
      <c r="I40" s="185"/>
      <c r="J40" s="185"/>
      <c r="K40" s="185"/>
      <c r="L40" s="185"/>
      <c r="M40" s="185"/>
      <c r="N40" s="185"/>
      <c r="O40" s="185"/>
      <c r="P40" s="185"/>
      <c r="Q40" s="185"/>
      <c r="R40" s="185"/>
      <c r="S40" s="185"/>
      <c r="T40" s="186"/>
    </row>
    <row r="41" spans="1:20" ht="30" customHeight="1">
      <c r="A41" s="187"/>
      <c r="B41" s="185"/>
      <c r="C41" s="185"/>
      <c r="D41" s="185"/>
      <c r="E41" s="185"/>
      <c r="F41" s="185"/>
      <c r="G41" s="185"/>
      <c r="H41" s="185"/>
      <c r="I41" s="185"/>
      <c r="J41" s="185"/>
      <c r="K41" s="185"/>
      <c r="L41" s="185"/>
      <c r="M41" s="185"/>
      <c r="N41" s="185"/>
      <c r="O41" s="185"/>
      <c r="P41" s="185"/>
      <c r="Q41" s="185"/>
      <c r="R41" s="185"/>
      <c r="S41" s="185"/>
      <c r="T41" s="186"/>
    </row>
    <row r="42" spans="1:20" ht="30" customHeight="1">
      <c r="A42" s="188"/>
      <c r="B42" s="189"/>
      <c r="C42" s="189"/>
      <c r="D42" s="189"/>
      <c r="E42" s="189"/>
      <c r="F42" s="189"/>
      <c r="G42" s="189"/>
      <c r="H42" s="189"/>
      <c r="I42" s="189"/>
      <c r="J42" s="189"/>
      <c r="K42" s="189"/>
      <c r="L42" s="189"/>
      <c r="M42" s="189"/>
      <c r="N42" s="189"/>
      <c r="O42" s="189"/>
      <c r="P42" s="189"/>
      <c r="Q42" s="189"/>
      <c r="R42" s="189"/>
      <c r="S42" s="189"/>
      <c r="T42" s="190"/>
    </row>
    <row r="43" spans="1:20" ht="30" customHeight="1"/>
    <row r="44" spans="1:20" ht="30" customHeight="1">
      <c r="A44" s="166" t="s">
        <v>38</v>
      </c>
      <c r="B44" s="167"/>
      <c r="C44" s="167"/>
      <c r="D44" s="167"/>
      <c r="E44" s="167"/>
      <c r="F44" s="167"/>
      <c r="G44" s="167"/>
      <c r="H44" s="167"/>
      <c r="I44" s="151"/>
      <c r="J44" s="151"/>
      <c r="K44" s="151"/>
      <c r="L44" s="151"/>
      <c r="M44" s="151"/>
      <c r="N44" s="151"/>
      <c r="O44" s="151"/>
      <c r="P44" s="151"/>
      <c r="Q44" s="151"/>
      <c r="R44" s="151"/>
      <c r="S44" s="151"/>
      <c r="T44" s="152"/>
    </row>
    <row r="45" spans="1:20" ht="30" customHeight="1">
      <c r="A45" s="183" t="s">
        <v>39</v>
      </c>
      <c r="B45" s="184"/>
      <c r="C45" s="184"/>
      <c r="D45" s="184"/>
      <c r="E45" s="184"/>
      <c r="F45" s="184"/>
      <c r="G45" s="184"/>
      <c r="H45" s="184"/>
      <c r="I45" s="185"/>
      <c r="J45" s="185"/>
      <c r="K45" s="185"/>
      <c r="L45" s="185"/>
      <c r="M45" s="185"/>
      <c r="N45" s="185"/>
      <c r="O45" s="185"/>
      <c r="P45" s="185"/>
      <c r="Q45" s="185"/>
      <c r="R45" s="185"/>
      <c r="S45" s="185"/>
      <c r="T45" s="186"/>
    </row>
    <row r="46" spans="1:20" ht="30" customHeight="1">
      <c r="A46" s="187"/>
      <c r="B46" s="185"/>
      <c r="C46" s="185"/>
      <c r="D46" s="185"/>
      <c r="E46" s="185"/>
      <c r="F46" s="185"/>
      <c r="G46" s="185"/>
      <c r="H46" s="185"/>
      <c r="I46" s="185"/>
      <c r="J46" s="185"/>
      <c r="K46" s="185"/>
      <c r="L46" s="185"/>
      <c r="M46" s="185"/>
      <c r="N46" s="185"/>
      <c r="O46" s="185"/>
      <c r="P46" s="185"/>
      <c r="Q46" s="185"/>
      <c r="R46" s="185"/>
      <c r="S46" s="185"/>
      <c r="T46" s="186"/>
    </row>
    <row r="47" spans="1:20" ht="30" customHeight="1">
      <c r="A47" s="187"/>
      <c r="B47" s="185"/>
      <c r="C47" s="185"/>
      <c r="D47" s="185"/>
      <c r="E47" s="185"/>
      <c r="F47" s="185"/>
      <c r="G47" s="185"/>
      <c r="H47" s="185"/>
      <c r="I47" s="185"/>
      <c r="J47" s="185"/>
      <c r="K47" s="185"/>
      <c r="L47" s="185"/>
      <c r="M47" s="185"/>
      <c r="N47" s="185"/>
      <c r="O47" s="185"/>
      <c r="P47" s="185"/>
      <c r="Q47" s="185"/>
      <c r="R47" s="185"/>
      <c r="S47" s="185"/>
      <c r="T47" s="186"/>
    </row>
    <row r="48" spans="1:20" ht="30" customHeight="1">
      <c r="A48" s="187"/>
      <c r="B48" s="185"/>
      <c r="C48" s="185"/>
      <c r="D48" s="185"/>
      <c r="E48" s="185"/>
      <c r="F48" s="185"/>
      <c r="G48" s="185"/>
      <c r="H48" s="185"/>
      <c r="I48" s="185"/>
      <c r="J48" s="185"/>
      <c r="K48" s="185"/>
      <c r="L48" s="185"/>
      <c r="M48" s="185"/>
      <c r="N48" s="185"/>
      <c r="O48" s="185"/>
      <c r="P48" s="185"/>
      <c r="Q48" s="185"/>
      <c r="R48" s="185"/>
      <c r="S48" s="185"/>
      <c r="T48" s="186"/>
    </row>
    <row r="49" spans="1:20" ht="30" customHeight="1">
      <c r="A49" s="188"/>
      <c r="B49" s="189"/>
      <c r="C49" s="189"/>
      <c r="D49" s="189"/>
      <c r="E49" s="189"/>
      <c r="F49" s="189"/>
      <c r="G49" s="189"/>
      <c r="H49" s="189"/>
      <c r="I49" s="189"/>
      <c r="J49" s="189"/>
      <c r="K49" s="189"/>
      <c r="L49" s="189"/>
      <c r="M49" s="189"/>
      <c r="N49" s="189"/>
      <c r="O49" s="189"/>
      <c r="P49" s="189"/>
      <c r="Q49" s="189"/>
      <c r="R49" s="189"/>
      <c r="S49" s="189"/>
      <c r="T49" s="190"/>
    </row>
    <row r="50" spans="1:20" ht="30" customHeight="1"/>
    <row r="51" spans="1:20" ht="30" customHeight="1">
      <c r="A51" s="166" t="s">
        <v>40</v>
      </c>
      <c r="B51" s="167"/>
      <c r="C51" s="167"/>
      <c r="D51" s="167"/>
      <c r="E51" s="167"/>
      <c r="F51" s="167"/>
      <c r="G51" s="167"/>
      <c r="H51" s="167"/>
      <c r="I51" s="151"/>
      <c r="J51" s="151"/>
      <c r="K51" s="151"/>
      <c r="L51" s="151"/>
      <c r="M51" s="151"/>
      <c r="N51" s="151"/>
      <c r="O51" s="151"/>
      <c r="P51" s="151"/>
      <c r="Q51" s="151"/>
      <c r="R51" s="151"/>
      <c r="S51" s="151"/>
      <c r="T51" s="152"/>
    </row>
    <row r="52" spans="1:20" ht="30" customHeight="1">
      <c r="A52" s="183"/>
      <c r="B52" s="184"/>
      <c r="C52" s="184"/>
      <c r="D52" s="184"/>
      <c r="E52" s="184"/>
      <c r="F52" s="184"/>
      <c r="G52" s="184"/>
      <c r="H52" s="184"/>
      <c r="I52" s="185"/>
      <c r="J52" s="185"/>
      <c r="K52" s="185"/>
      <c r="L52" s="185"/>
      <c r="M52" s="185"/>
      <c r="N52" s="185"/>
      <c r="O52" s="185"/>
      <c r="P52" s="185"/>
      <c r="Q52" s="185"/>
      <c r="R52" s="185"/>
      <c r="S52" s="185"/>
      <c r="T52" s="186"/>
    </row>
    <row r="53" spans="1:20" ht="30" customHeight="1">
      <c r="A53" s="187"/>
      <c r="B53" s="185"/>
      <c r="C53" s="185"/>
      <c r="D53" s="185"/>
      <c r="E53" s="185"/>
      <c r="F53" s="185"/>
      <c r="G53" s="185"/>
      <c r="H53" s="185"/>
      <c r="I53" s="185"/>
      <c r="J53" s="185"/>
      <c r="K53" s="185"/>
      <c r="L53" s="185"/>
      <c r="M53" s="185"/>
      <c r="N53" s="185"/>
      <c r="O53" s="185"/>
      <c r="P53" s="185"/>
      <c r="Q53" s="185"/>
      <c r="R53" s="185"/>
      <c r="S53" s="185"/>
      <c r="T53" s="186"/>
    </row>
    <row r="54" spans="1:20" ht="30" customHeight="1">
      <c r="A54" s="187"/>
      <c r="B54" s="185"/>
      <c r="C54" s="185"/>
      <c r="D54" s="185"/>
      <c r="E54" s="185"/>
      <c r="F54" s="185"/>
      <c r="G54" s="185"/>
      <c r="H54" s="185"/>
      <c r="I54" s="185"/>
      <c r="J54" s="185"/>
      <c r="K54" s="185"/>
      <c r="L54" s="185"/>
      <c r="M54" s="185"/>
      <c r="N54" s="185"/>
      <c r="O54" s="185"/>
      <c r="P54" s="185"/>
      <c r="Q54" s="185"/>
      <c r="R54" s="185"/>
      <c r="S54" s="185"/>
      <c r="T54" s="186"/>
    </row>
    <row r="55" spans="1:20" ht="30" customHeight="1">
      <c r="A55" s="187"/>
      <c r="B55" s="185"/>
      <c r="C55" s="185"/>
      <c r="D55" s="185"/>
      <c r="E55" s="185"/>
      <c r="F55" s="185"/>
      <c r="G55" s="185"/>
      <c r="H55" s="185"/>
      <c r="I55" s="185"/>
      <c r="J55" s="185"/>
      <c r="K55" s="185"/>
      <c r="L55" s="185"/>
      <c r="M55" s="185"/>
      <c r="N55" s="185"/>
      <c r="O55" s="185"/>
      <c r="P55" s="185"/>
      <c r="Q55" s="185"/>
      <c r="R55" s="185"/>
      <c r="S55" s="185"/>
      <c r="T55" s="186"/>
    </row>
    <row r="56" spans="1:20" ht="30" customHeight="1">
      <c r="A56" s="188"/>
      <c r="B56" s="189"/>
      <c r="C56" s="189"/>
      <c r="D56" s="189"/>
      <c r="E56" s="189"/>
      <c r="F56" s="189"/>
      <c r="G56" s="189"/>
      <c r="H56" s="189"/>
      <c r="I56" s="189"/>
      <c r="J56" s="189"/>
      <c r="K56" s="189"/>
      <c r="L56" s="189"/>
      <c r="M56" s="189"/>
      <c r="N56" s="189"/>
      <c r="O56" s="189"/>
      <c r="P56" s="189"/>
      <c r="Q56" s="189"/>
      <c r="R56" s="189"/>
      <c r="S56" s="189"/>
      <c r="T56" s="190"/>
    </row>
    <row r="57" spans="1:20" ht="30" customHeight="1"/>
    <row r="58" spans="1:20" ht="30" customHeight="1">
      <c r="A58" s="166" t="s">
        <v>41</v>
      </c>
      <c r="B58" s="167"/>
      <c r="C58" s="167"/>
      <c r="D58" s="167"/>
      <c r="E58" s="167"/>
      <c r="F58" s="167"/>
      <c r="G58" s="167"/>
      <c r="H58" s="167"/>
      <c r="I58" s="151"/>
      <c r="J58" s="151"/>
      <c r="K58" s="151"/>
      <c r="L58" s="151"/>
      <c r="M58" s="151"/>
      <c r="N58" s="151"/>
      <c r="O58" s="151"/>
      <c r="P58" s="151"/>
      <c r="Q58" s="151"/>
      <c r="R58" s="151"/>
      <c r="S58" s="151"/>
      <c r="T58" s="152"/>
    </row>
    <row r="59" spans="1:20" ht="30" customHeight="1">
      <c r="A59" s="183"/>
      <c r="B59" s="184"/>
      <c r="C59" s="184"/>
      <c r="D59" s="184"/>
      <c r="E59" s="184"/>
      <c r="F59" s="184"/>
      <c r="G59" s="184"/>
      <c r="H59" s="184"/>
      <c r="I59" s="185"/>
      <c r="J59" s="185"/>
      <c r="K59" s="185"/>
      <c r="L59" s="185"/>
      <c r="M59" s="185"/>
      <c r="N59" s="185"/>
      <c r="O59" s="185"/>
      <c r="P59" s="185"/>
      <c r="Q59" s="185"/>
      <c r="R59" s="185"/>
      <c r="S59" s="185"/>
      <c r="T59" s="186"/>
    </row>
    <row r="60" spans="1:20" ht="30" customHeight="1">
      <c r="A60" s="187"/>
      <c r="B60" s="185"/>
      <c r="C60" s="185"/>
      <c r="D60" s="185"/>
      <c r="E60" s="185"/>
      <c r="F60" s="185"/>
      <c r="G60" s="185"/>
      <c r="H60" s="185"/>
      <c r="I60" s="185"/>
      <c r="J60" s="185"/>
      <c r="K60" s="185"/>
      <c r="L60" s="185"/>
      <c r="M60" s="185"/>
      <c r="N60" s="185"/>
      <c r="O60" s="185"/>
      <c r="P60" s="185"/>
      <c r="Q60" s="185"/>
      <c r="R60" s="185"/>
      <c r="S60" s="185"/>
      <c r="T60" s="186"/>
    </row>
    <row r="61" spans="1:20" ht="30" customHeight="1">
      <c r="A61" s="187"/>
      <c r="B61" s="185"/>
      <c r="C61" s="185"/>
      <c r="D61" s="185"/>
      <c r="E61" s="185"/>
      <c r="F61" s="185"/>
      <c r="G61" s="185"/>
      <c r="H61" s="185"/>
      <c r="I61" s="185"/>
      <c r="J61" s="185"/>
      <c r="K61" s="185"/>
      <c r="L61" s="185"/>
      <c r="M61" s="185"/>
      <c r="N61" s="185"/>
      <c r="O61" s="185"/>
      <c r="P61" s="185"/>
      <c r="Q61" s="185"/>
      <c r="R61" s="185"/>
      <c r="S61" s="185"/>
      <c r="T61" s="186"/>
    </row>
    <row r="62" spans="1:20" ht="30" customHeight="1">
      <c r="A62" s="187"/>
      <c r="B62" s="185"/>
      <c r="C62" s="185"/>
      <c r="D62" s="185"/>
      <c r="E62" s="185"/>
      <c r="F62" s="185"/>
      <c r="G62" s="185"/>
      <c r="H62" s="185"/>
      <c r="I62" s="185"/>
      <c r="J62" s="185"/>
      <c r="K62" s="185"/>
      <c r="L62" s="185"/>
      <c r="M62" s="185"/>
      <c r="N62" s="185"/>
      <c r="O62" s="185"/>
      <c r="P62" s="185"/>
      <c r="Q62" s="185"/>
      <c r="R62" s="185"/>
      <c r="S62" s="185"/>
      <c r="T62" s="186"/>
    </row>
    <row r="63" spans="1:20" ht="30" customHeight="1">
      <c r="A63" s="188"/>
      <c r="B63" s="189"/>
      <c r="C63" s="189"/>
      <c r="D63" s="189"/>
      <c r="E63" s="189"/>
      <c r="F63" s="189"/>
      <c r="G63" s="189"/>
      <c r="H63" s="189"/>
      <c r="I63" s="189"/>
      <c r="J63" s="189"/>
      <c r="K63" s="189"/>
      <c r="L63" s="189"/>
      <c r="M63" s="189"/>
      <c r="N63" s="189"/>
      <c r="O63" s="189"/>
      <c r="P63" s="189"/>
      <c r="Q63" s="189"/>
      <c r="R63" s="189"/>
      <c r="S63" s="189"/>
      <c r="T63" s="190"/>
    </row>
    <row r="64" spans="1:20" ht="30" customHeight="1"/>
    <row r="65" spans="1:20" ht="30" customHeight="1">
      <c r="A65" s="166" t="s">
        <v>42</v>
      </c>
      <c r="B65" s="167"/>
      <c r="C65" s="167"/>
      <c r="D65" s="167"/>
      <c r="E65" s="167"/>
      <c r="F65" s="167"/>
      <c r="G65" s="167"/>
      <c r="H65" s="167"/>
      <c r="I65" s="151"/>
      <c r="J65" s="151"/>
      <c r="K65" s="151"/>
      <c r="L65" s="151"/>
      <c r="M65" s="151"/>
      <c r="N65" s="151"/>
      <c r="O65" s="151"/>
      <c r="P65" s="151"/>
      <c r="Q65" s="151"/>
      <c r="R65" s="151"/>
      <c r="S65" s="151"/>
      <c r="T65" s="152"/>
    </row>
    <row r="66" spans="1:20" ht="30" customHeight="1">
      <c r="A66" s="183"/>
      <c r="B66" s="184"/>
      <c r="C66" s="184"/>
      <c r="D66" s="184"/>
      <c r="E66" s="184"/>
      <c r="F66" s="184"/>
      <c r="G66" s="184"/>
      <c r="H66" s="184"/>
      <c r="I66" s="185"/>
      <c r="J66" s="185"/>
      <c r="K66" s="185"/>
      <c r="L66" s="185"/>
      <c r="M66" s="185"/>
      <c r="N66" s="185"/>
      <c r="O66" s="185"/>
      <c r="P66" s="185"/>
      <c r="Q66" s="185"/>
      <c r="R66" s="185"/>
      <c r="S66" s="185"/>
      <c r="T66" s="186"/>
    </row>
    <row r="67" spans="1:20" ht="30" customHeight="1">
      <c r="A67" s="187"/>
      <c r="B67" s="185"/>
      <c r="C67" s="185"/>
      <c r="D67" s="185"/>
      <c r="E67" s="185"/>
      <c r="F67" s="185"/>
      <c r="G67" s="185"/>
      <c r="H67" s="185"/>
      <c r="I67" s="185"/>
      <c r="J67" s="185"/>
      <c r="K67" s="185"/>
      <c r="L67" s="185"/>
      <c r="M67" s="185"/>
      <c r="N67" s="185"/>
      <c r="O67" s="185"/>
      <c r="P67" s="185"/>
      <c r="Q67" s="185"/>
      <c r="R67" s="185"/>
      <c r="S67" s="185"/>
      <c r="T67" s="186"/>
    </row>
    <row r="68" spans="1:20" ht="30" customHeight="1">
      <c r="A68" s="187"/>
      <c r="B68" s="185"/>
      <c r="C68" s="185"/>
      <c r="D68" s="185"/>
      <c r="E68" s="185"/>
      <c r="F68" s="185"/>
      <c r="G68" s="185"/>
      <c r="H68" s="185"/>
      <c r="I68" s="185"/>
      <c r="J68" s="185"/>
      <c r="K68" s="185"/>
      <c r="L68" s="185"/>
      <c r="M68" s="185"/>
      <c r="N68" s="185"/>
      <c r="O68" s="185"/>
      <c r="P68" s="185"/>
      <c r="Q68" s="185"/>
      <c r="R68" s="185"/>
      <c r="S68" s="185"/>
      <c r="T68" s="186"/>
    </row>
    <row r="69" spans="1:20" ht="30" customHeight="1">
      <c r="A69" s="187"/>
      <c r="B69" s="185"/>
      <c r="C69" s="185"/>
      <c r="D69" s="185"/>
      <c r="E69" s="185"/>
      <c r="F69" s="185"/>
      <c r="G69" s="185"/>
      <c r="H69" s="185"/>
      <c r="I69" s="185"/>
      <c r="J69" s="185"/>
      <c r="K69" s="185"/>
      <c r="L69" s="185"/>
      <c r="M69" s="185"/>
      <c r="N69" s="185"/>
      <c r="O69" s="185"/>
      <c r="P69" s="185"/>
      <c r="Q69" s="185"/>
      <c r="R69" s="185"/>
      <c r="S69" s="185"/>
      <c r="T69" s="186"/>
    </row>
    <row r="70" spans="1:20" ht="30" customHeight="1">
      <c r="A70" s="188"/>
      <c r="B70" s="189"/>
      <c r="C70" s="189"/>
      <c r="D70" s="189"/>
      <c r="E70" s="189"/>
      <c r="F70" s="189"/>
      <c r="G70" s="189"/>
      <c r="H70" s="189"/>
      <c r="I70" s="189"/>
      <c r="J70" s="189"/>
      <c r="K70" s="189"/>
      <c r="L70" s="189"/>
      <c r="M70" s="189"/>
      <c r="N70" s="189"/>
      <c r="O70" s="189"/>
      <c r="P70" s="189"/>
      <c r="Q70" s="189"/>
      <c r="R70" s="189"/>
      <c r="S70" s="189"/>
      <c r="T70" s="190"/>
    </row>
    <row r="71" spans="1:20" ht="30" customHeight="1"/>
    <row r="72" spans="1:20" ht="30" customHeight="1">
      <c r="A72" s="166" t="s">
        <v>43</v>
      </c>
      <c r="B72" s="167"/>
      <c r="C72" s="167"/>
      <c r="D72" s="167"/>
      <c r="E72" s="167"/>
      <c r="F72" s="167"/>
      <c r="G72" s="167"/>
      <c r="H72" s="167"/>
      <c r="I72" s="151"/>
      <c r="J72" s="151"/>
      <c r="K72" s="151"/>
      <c r="L72" s="151"/>
      <c r="M72" s="151"/>
      <c r="N72" s="151"/>
      <c r="O72" s="151"/>
      <c r="P72" s="151"/>
      <c r="Q72" s="151"/>
      <c r="R72" s="151"/>
      <c r="S72" s="151"/>
      <c r="T72" s="152"/>
    </row>
    <row r="73" spans="1:20" ht="30" customHeight="1">
      <c r="A73" s="183"/>
      <c r="B73" s="184"/>
      <c r="C73" s="184"/>
      <c r="D73" s="184"/>
      <c r="E73" s="184"/>
      <c r="F73" s="184"/>
      <c r="G73" s="184"/>
      <c r="H73" s="184"/>
      <c r="I73" s="185"/>
      <c r="J73" s="185"/>
      <c r="K73" s="185"/>
      <c r="L73" s="185"/>
      <c r="M73" s="185"/>
      <c r="N73" s="185"/>
      <c r="O73" s="185"/>
      <c r="P73" s="185"/>
      <c r="Q73" s="185"/>
      <c r="R73" s="185"/>
      <c r="S73" s="185"/>
      <c r="T73" s="186"/>
    </row>
    <row r="74" spans="1:20" ht="30" customHeight="1">
      <c r="A74" s="187"/>
      <c r="B74" s="185"/>
      <c r="C74" s="185"/>
      <c r="D74" s="185"/>
      <c r="E74" s="185"/>
      <c r="F74" s="185"/>
      <c r="G74" s="185"/>
      <c r="H74" s="185"/>
      <c r="I74" s="185"/>
      <c r="J74" s="185"/>
      <c r="K74" s="185"/>
      <c r="L74" s="185"/>
      <c r="M74" s="185"/>
      <c r="N74" s="185"/>
      <c r="O74" s="185"/>
      <c r="P74" s="185"/>
      <c r="Q74" s="185"/>
      <c r="R74" s="185"/>
      <c r="S74" s="185"/>
      <c r="T74" s="186"/>
    </row>
    <row r="75" spans="1:20" ht="30" customHeight="1">
      <c r="A75" s="187"/>
      <c r="B75" s="185"/>
      <c r="C75" s="185"/>
      <c r="D75" s="185"/>
      <c r="E75" s="185"/>
      <c r="F75" s="185"/>
      <c r="G75" s="185"/>
      <c r="H75" s="185"/>
      <c r="I75" s="185"/>
      <c r="J75" s="185"/>
      <c r="K75" s="185"/>
      <c r="L75" s="185"/>
      <c r="M75" s="185"/>
      <c r="N75" s="185"/>
      <c r="O75" s="185"/>
      <c r="P75" s="185"/>
      <c r="Q75" s="185"/>
      <c r="R75" s="185"/>
      <c r="S75" s="185"/>
      <c r="T75" s="186"/>
    </row>
    <row r="76" spans="1:20" ht="30" customHeight="1">
      <c r="A76" s="187"/>
      <c r="B76" s="185"/>
      <c r="C76" s="185"/>
      <c r="D76" s="185"/>
      <c r="E76" s="185"/>
      <c r="F76" s="185"/>
      <c r="G76" s="185"/>
      <c r="H76" s="185"/>
      <c r="I76" s="185"/>
      <c r="J76" s="185"/>
      <c r="K76" s="185"/>
      <c r="L76" s="185"/>
      <c r="M76" s="185"/>
      <c r="N76" s="185"/>
      <c r="O76" s="185"/>
      <c r="P76" s="185"/>
      <c r="Q76" s="185"/>
      <c r="R76" s="185"/>
      <c r="S76" s="185"/>
      <c r="T76" s="186"/>
    </row>
    <row r="77" spans="1:20" ht="30" customHeight="1">
      <c r="A77" s="188"/>
      <c r="B77" s="189"/>
      <c r="C77" s="189"/>
      <c r="D77" s="189"/>
      <c r="E77" s="189"/>
      <c r="F77" s="189"/>
      <c r="G77" s="189"/>
      <c r="H77" s="189"/>
      <c r="I77" s="189"/>
      <c r="J77" s="189"/>
      <c r="K77" s="189"/>
      <c r="L77" s="189"/>
      <c r="M77" s="189"/>
      <c r="N77" s="189"/>
      <c r="O77" s="189"/>
      <c r="P77" s="189"/>
      <c r="Q77" s="189"/>
      <c r="R77" s="189"/>
      <c r="S77" s="189"/>
      <c r="T77" s="190"/>
    </row>
    <row r="78" spans="1:20" ht="30" customHeight="1"/>
    <row r="79" spans="1:20" ht="30" customHeight="1"/>
    <row r="80" spans="1:20" ht="30" customHeight="1"/>
    <row r="81" ht="30" customHeight="1"/>
    <row r="82" ht="30" customHeight="1"/>
    <row r="83" ht="30" customHeight="1"/>
    <row r="84" ht="30" customHeight="1"/>
    <row r="85" ht="30" customHeight="1"/>
    <row r="86" ht="30" customHeight="1"/>
    <row r="87" ht="30" customHeight="1"/>
    <row r="88" ht="30" customHeight="1"/>
    <row r="89" ht="30" customHeight="1"/>
  </sheetData>
  <mergeCells count="63">
    <mergeCell ref="S4:T5"/>
    <mergeCell ref="S14:T15"/>
    <mergeCell ref="S6:T7"/>
    <mergeCell ref="A73:T77"/>
    <mergeCell ref="A52:T56"/>
    <mergeCell ref="A59:T63"/>
    <mergeCell ref="A66:T70"/>
    <mergeCell ref="A24:T28"/>
    <mergeCell ref="A45:T49"/>
    <mergeCell ref="A31:T35"/>
    <mergeCell ref="A38:T42"/>
    <mergeCell ref="S18:T19"/>
    <mergeCell ref="S8:T9"/>
    <mergeCell ref="S10:T11"/>
    <mergeCell ref="S12:T13"/>
    <mergeCell ref="S16:T17"/>
    <mergeCell ref="Q16:Q17"/>
    <mergeCell ref="Q18:Q19"/>
    <mergeCell ref="R4:R5"/>
    <mergeCell ref="R6:R7"/>
    <mergeCell ref="R8:R9"/>
    <mergeCell ref="R10:R11"/>
    <mergeCell ref="R12:R13"/>
    <mergeCell ref="R14:R15"/>
    <mergeCell ref="R16:R17"/>
    <mergeCell ref="R18:R19"/>
    <mergeCell ref="A65:H65"/>
    <mergeCell ref="A72:H72"/>
    <mergeCell ref="A4:A21"/>
    <mergeCell ref="B4:B21"/>
    <mergeCell ref="C4:C21"/>
    <mergeCell ref="D4:D5"/>
    <mergeCell ref="D6:D7"/>
    <mergeCell ref="D8:D9"/>
    <mergeCell ref="D10:D11"/>
    <mergeCell ref="D12:D13"/>
    <mergeCell ref="D14:D15"/>
    <mergeCell ref="D16:D17"/>
    <mergeCell ref="D18:D19"/>
    <mergeCell ref="E4:E5"/>
    <mergeCell ref="E6:E7"/>
    <mergeCell ref="E8:E9"/>
    <mergeCell ref="A30:H30"/>
    <mergeCell ref="A37:H37"/>
    <mergeCell ref="A44:H44"/>
    <mergeCell ref="A51:H51"/>
    <mergeCell ref="A58:H58"/>
    <mergeCell ref="A1:T1"/>
    <mergeCell ref="A2:H2"/>
    <mergeCell ref="S2:T2"/>
    <mergeCell ref="S3:T3"/>
    <mergeCell ref="A23:H23"/>
    <mergeCell ref="E10:E11"/>
    <mergeCell ref="E12:E13"/>
    <mergeCell ref="E14:E15"/>
    <mergeCell ref="E16:E17"/>
    <mergeCell ref="E18:E19"/>
    <mergeCell ref="Q4:Q5"/>
    <mergeCell ref="Q6:Q7"/>
    <mergeCell ref="Q8:Q9"/>
    <mergeCell ref="Q10:Q11"/>
    <mergeCell ref="Q12:Q13"/>
    <mergeCell ref="Q14:Q15"/>
  </mergeCells>
  <phoneticPr fontId="63" type="noConversion"/>
  <conditionalFormatting sqref="H5">
    <cfRule type="dataBar" priority="65">
      <dataBar>
        <cfvo type="num" val="0"/>
        <cfvo type="num" val="1"/>
        <color rgb="FF00B050"/>
      </dataBar>
      <extLst>
        <ext xmlns:x14="http://schemas.microsoft.com/office/spreadsheetml/2009/9/main" uri="{B025F937-C7B1-47D3-B67F-A62EFF666E3E}">
          <x14:id>{7575D771-CE4B-4D66-B6B7-9CE5A65043C1}</x14:id>
        </ext>
      </extLst>
    </cfRule>
  </conditionalFormatting>
  <conditionalFormatting sqref="H7">
    <cfRule type="dataBar" priority="64">
      <dataBar>
        <cfvo type="num" val="0"/>
        <cfvo type="num" val="1"/>
        <color rgb="FF00B050"/>
      </dataBar>
      <extLst>
        <ext xmlns:x14="http://schemas.microsoft.com/office/spreadsheetml/2009/9/main" uri="{B025F937-C7B1-47D3-B67F-A62EFF666E3E}">
          <x14:id>{52C22E88-4D17-4FBB-9119-1A74215C5A6F}</x14:id>
        </ext>
      </extLst>
    </cfRule>
  </conditionalFormatting>
  <conditionalFormatting sqref="H9">
    <cfRule type="dataBar" priority="63">
      <dataBar>
        <cfvo type="num" val="0"/>
        <cfvo type="num" val="1"/>
        <color rgb="FF00B050"/>
      </dataBar>
      <extLst>
        <ext xmlns:x14="http://schemas.microsoft.com/office/spreadsheetml/2009/9/main" uri="{B025F937-C7B1-47D3-B67F-A62EFF666E3E}">
          <x14:id>{06234DF4-136A-4DBA-B24E-6C4A28119DAE}</x14:id>
        </ext>
      </extLst>
    </cfRule>
  </conditionalFormatting>
  <conditionalFormatting sqref="H11">
    <cfRule type="dataBar" priority="62">
      <dataBar>
        <cfvo type="num" val="0"/>
        <cfvo type="num" val="1"/>
        <color rgb="FF00B050"/>
      </dataBar>
      <extLst>
        <ext xmlns:x14="http://schemas.microsoft.com/office/spreadsheetml/2009/9/main" uri="{B025F937-C7B1-47D3-B67F-A62EFF666E3E}">
          <x14:id>{C8892534-43F6-4B9D-8F1F-5CB251863AE6}</x14:id>
        </ext>
      </extLst>
    </cfRule>
  </conditionalFormatting>
  <conditionalFormatting sqref="H13">
    <cfRule type="dataBar" priority="61">
      <dataBar>
        <cfvo type="num" val="0"/>
        <cfvo type="num" val="1"/>
        <color rgb="FF00B050"/>
      </dataBar>
      <extLst>
        <ext xmlns:x14="http://schemas.microsoft.com/office/spreadsheetml/2009/9/main" uri="{B025F937-C7B1-47D3-B67F-A62EFF666E3E}">
          <x14:id>{BA681610-5357-4635-A097-E8473BB0F913}</x14:id>
        </ext>
      </extLst>
    </cfRule>
  </conditionalFormatting>
  <conditionalFormatting sqref="H15">
    <cfRule type="dataBar" priority="60">
      <dataBar>
        <cfvo type="num" val="0"/>
        <cfvo type="num" val="1"/>
        <color rgb="FF00B050"/>
      </dataBar>
      <extLst>
        <ext xmlns:x14="http://schemas.microsoft.com/office/spreadsheetml/2009/9/main" uri="{B025F937-C7B1-47D3-B67F-A62EFF666E3E}">
          <x14:id>{01CD71FC-D00D-441A-9700-0A6A3F21CAE4}</x14:id>
        </ext>
      </extLst>
    </cfRule>
  </conditionalFormatting>
  <conditionalFormatting sqref="H17">
    <cfRule type="dataBar" priority="59">
      <dataBar>
        <cfvo type="num" val="0"/>
        <cfvo type="num" val="1"/>
        <color rgb="FF00B050"/>
      </dataBar>
      <extLst>
        <ext xmlns:x14="http://schemas.microsoft.com/office/spreadsheetml/2009/9/main" uri="{B025F937-C7B1-47D3-B67F-A62EFF666E3E}">
          <x14:id>{474BB0C9-DA5F-4E88-8B76-E8B86581F55D}</x14:id>
        </ext>
      </extLst>
    </cfRule>
  </conditionalFormatting>
  <conditionalFormatting sqref="H19:H20">
    <cfRule type="dataBar" priority="58">
      <dataBar>
        <cfvo type="num" val="0"/>
        <cfvo type="num" val="1"/>
        <color rgb="FF00B050"/>
      </dataBar>
      <extLst>
        <ext xmlns:x14="http://schemas.microsoft.com/office/spreadsheetml/2009/9/main" uri="{B025F937-C7B1-47D3-B67F-A62EFF666E3E}">
          <x14:id>{8ED9D390-5736-4DDC-88F2-80F16D3BF331}</x14:id>
        </ext>
      </extLst>
    </cfRule>
  </conditionalFormatting>
  <conditionalFormatting sqref="I5">
    <cfRule type="dataBar" priority="57">
      <dataBar>
        <cfvo type="num" val="0"/>
        <cfvo type="num" val="1"/>
        <color rgb="FF00B050"/>
      </dataBar>
      <extLst>
        <ext xmlns:x14="http://schemas.microsoft.com/office/spreadsheetml/2009/9/main" uri="{B025F937-C7B1-47D3-B67F-A62EFF666E3E}">
          <x14:id>{2B02C835-86E6-4386-B9F0-ECE609268D05}</x14:id>
        </ext>
      </extLst>
    </cfRule>
  </conditionalFormatting>
  <conditionalFormatting sqref="I7">
    <cfRule type="dataBar" priority="56">
      <dataBar>
        <cfvo type="num" val="0"/>
        <cfvo type="num" val="1"/>
        <color rgb="FF00B050"/>
      </dataBar>
      <extLst>
        <ext xmlns:x14="http://schemas.microsoft.com/office/spreadsheetml/2009/9/main" uri="{B025F937-C7B1-47D3-B67F-A62EFF666E3E}">
          <x14:id>{F390CBC5-1434-465D-9AC6-F8ECEF6404C8}</x14:id>
        </ext>
      </extLst>
    </cfRule>
  </conditionalFormatting>
  <conditionalFormatting sqref="I9">
    <cfRule type="dataBar" priority="55">
      <dataBar>
        <cfvo type="num" val="0"/>
        <cfvo type="num" val="1"/>
        <color rgb="FF00B050"/>
      </dataBar>
      <extLst>
        <ext xmlns:x14="http://schemas.microsoft.com/office/spreadsheetml/2009/9/main" uri="{B025F937-C7B1-47D3-B67F-A62EFF666E3E}">
          <x14:id>{CAD63D26-57F6-401D-9564-CEC98053A016}</x14:id>
        </ext>
      </extLst>
    </cfRule>
  </conditionalFormatting>
  <conditionalFormatting sqref="I11">
    <cfRule type="dataBar" priority="54">
      <dataBar>
        <cfvo type="num" val="0"/>
        <cfvo type="num" val="1"/>
        <color rgb="FF00B050"/>
      </dataBar>
      <extLst>
        <ext xmlns:x14="http://schemas.microsoft.com/office/spreadsheetml/2009/9/main" uri="{B025F937-C7B1-47D3-B67F-A62EFF666E3E}">
          <x14:id>{DB4419B6-F8B3-41DD-A3CC-0269CCBBE9B8}</x14:id>
        </ext>
      </extLst>
    </cfRule>
  </conditionalFormatting>
  <conditionalFormatting sqref="I13">
    <cfRule type="dataBar" priority="53">
      <dataBar>
        <cfvo type="num" val="0"/>
        <cfvo type="num" val="1"/>
        <color rgb="FF00B050"/>
      </dataBar>
      <extLst>
        <ext xmlns:x14="http://schemas.microsoft.com/office/spreadsheetml/2009/9/main" uri="{B025F937-C7B1-47D3-B67F-A62EFF666E3E}">
          <x14:id>{3DBB32EC-C6A7-46E6-BF10-D6E2934DD44D}</x14:id>
        </ext>
      </extLst>
    </cfRule>
  </conditionalFormatting>
  <conditionalFormatting sqref="I15">
    <cfRule type="dataBar" priority="52">
      <dataBar>
        <cfvo type="num" val="0"/>
        <cfvo type="num" val="1"/>
        <color rgb="FF00B050"/>
      </dataBar>
      <extLst>
        <ext xmlns:x14="http://schemas.microsoft.com/office/spreadsheetml/2009/9/main" uri="{B025F937-C7B1-47D3-B67F-A62EFF666E3E}">
          <x14:id>{9B4DC084-CB57-4655-A030-F761806CC3F8}</x14:id>
        </ext>
      </extLst>
    </cfRule>
  </conditionalFormatting>
  <conditionalFormatting sqref="I17">
    <cfRule type="dataBar" priority="51">
      <dataBar>
        <cfvo type="num" val="0"/>
        <cfvo type="num" val="1"/>
        <color rgb="FF00B050"/>
      </dataBar>
      <extLst>
        <ext xmlns:x14="http://schemas.microsoft.com/office/spreadsheetml/2009/9/main" uri="{B025F937-C7B1-47D3-B67F-A62EFF666E3E}">
          <x14:id>{034A2121-6212-49F8-8536-AEC449BB0CE5}</x14:id>
        </ext>
      </extLst>
    </cfRule>
  </conditionalFormatting>
  <conditionalFormatting sqref="I19:I20">
    <cfRule type="dataBar" priority="50">
      <dataBar>
        <cfvo type="num" val="0"/>
        <cfvo type="num" val="1"/>
        <color rgb="FF00B050"/>
      </dataBar>
      <extLst>
        <ext xmlns:x14="http://schemas.microsoft.com/office/spreadsheetml/2009/9/main" uri="{B025F937-C7B1-47D3-B67F-A62EFF666E3E}">
          <x14:id>{82171632-1B26-4D66-8364-036677234548}</x14:id>
        </ext>
      </extLst>
    </cfRule>
  </conditionalFormatting>
  <conditionalFormatting sqref="J5">
    <cfRule type="dataBar" priority="49">
      <dataBar>
        <cfvo type="num" val="0"/>
        <cfvo type="num" val="1"/>
        <color rgb="FF00B050"/>
      </dataBar>
      <extLst>
        <ext xmlns:x14="http://schemas.microsoft.com/office/spreadsheetml/2009/9/main" uri="{B025F937-C7B1-47D3-B67F-A62EFF666E3E}">
          <x14:id>{F6DE5E29-E556-4257-8E01-4F3EAECE4C26}</x14:id>
        </ext>
      </extLst>
    </cfRule>
  </conditionalFormatting>
  <conditionalFormatting sqref="J7">
    <cfRule type="dataBar" priority="48">
      <dataBar>
        <cfvo type="num" val="0"/>
        <cfvo type="num" val="1"/>
        <color rgb="FF00B050"/>
      </dataBar>
      <extLst>
        <ext xmlns:x14="http://schemas.microsoft.com/office/spreadsheetml/2009/9/main" uri="{B025F937-C7B1-47D3-B67F-A62EFF666E3E}">
          <x14:id>{54A01648-F102-4D64-9541-E29986915440}</x14:id>
        </ext>
      </extLst>
    </cfRule>
  </conditionalFormatting>
  <conditionalFormatting sqref="J9">
    <cfRule type="dataBar" priority="47">
      <dataBar>
        <cfvo type="num" val="0"/>
        <cfvo type="num" val="1"/>
        <color rgb="FF00B050"/>
      </dataBar>
      <extLst>
        <ext xmlns:x14="http://schemas.microsoft.com/office/spreadsheetml/2009/9/main" uri="{B025F937-C7B1-47D3-B67F-A62EFF666E3E}">
          <x14:id>{5E33DA29-1FC5-44C2-8AFD-6AE287AC58B9}</x14:id>
        </ext>
      </extLst>
    </cfRule>
  </conditionalFormatting>
  <conditionalFormatting sqref="J11">
    <cfRule type="dataBar" priority="46">
      <dataBar>
        <cfvo type="num" val="0"/>
        <cfvo type="num" val="1"/>
        <color rgb="FF00B050"/>
      </dataBar>
      <extLst>
        <ext xmlns:x14="http://schemas.microsoft.com/office/spreadsheetml/2009/9/main" uri="{B025F937-C7B1-47D3-B67F-A62EFF666E3E}">
          <x14:id>{197A62E1-04C0-4AF5-A6F4-16E15A96527B}</x14:id>
        </ext>
      </extLst>
    </cfRule>
  </conditionalFormatting>
  <conditionalFormatting sqref="J13">
    <cfRule type="dataBar" priority="45">
      <dataBar>
        <cfvo type="num" val="0"/>
        <cfvo type="num" val="1"/>
        <color rgb="FF00B050"/>
      </dataBar>
      <extLst>
        <ext xmlns:x14="http://schemas.microsoft.com/office/spreadsheetml/2009/9/main" uri="{B025F937-C7B1-47D3-B67F-A62EFF666E3E}">
          <x14:id>{5DACB66D-494D-4B4A-B294-1C3A7DAAC863}</x14:id>
        </ext>
      </extLst>
    </cfRule>
  </conditionalFormatting>
  <conditionalFormatting sqref="J15">
    <cfRule type="dataBar" priority="44">
      <dataBar>
        <cfvo type="num" val="0"/>
        <cfvo type="num" val="1"/>
        <color rgb="FF00B050"/>
      </dataBar>
      <extLst>
        <ext xmlns:x14="http://schemas.microsoft.com/office/spreadsheetml/2009/9/main" uri="{B025F937-C7B1-47D3-B67F-A62EFF666E3E}">
          <x14:id>{C6B221FD-63B5-465E-A768-936B677B3CD6}</x14:id>
        </ext>
      </extLst>
    </cfRule>
  </conditionalFormatting>
  <conditionalFormatting sqref="J17">
    <cfRule type="dataBar" priority="43">
      <dataBar>
        <cfvo type="num" val="0"/>
        <cfvo type="num" val="1"/>
        <color rgb="FF00B050"/>
      </dataBar>
      <extLst>
        <ext xmlns:x14="http://schemas.microsoft.com/office/spreadsheetml/2009/9/main" uri="{B025F937-C7B1-47D3-B67F-A62EFF666E3E}">
          <x14:id>{56F9CB11-68CC-42E3-8893-C841C4F691FC}</x14:id>
        </ext>
      </extLst>
    </cfRule>
  </conditionalFormatting>
  <conditionalFormatting sqref="J19:J20">
    <cfRule type="dataBar" priority="42">
      <dataBar>
        <cfvo type="num" val="0"/>
        <cfvo type="num" val="1"/>
        <color rgb="FF00B050"/>
      </dataBar>
      <extLst>
        <ext xmlns:x14="http://schemas.microsoft.com/office/spreadsheetml/2009/9/main" uri="{B025F937-C7B1-47D3-B67F-A62EFF666E3E}">
          <x14:id>{D20E3EAF-238D-4F37-BFD3-D64B9BEFB417}</x14:id>
        </ext>
      </extLst>
    </cfRule>
  </conditionalFormatting>
  <conditionalFormatting sqref="K5">
    <cfRule type="dataBar" priority="41">
      <dataBar>
        <cfvo type="num" val="0"/>
        <cfvo type="num" val="1"/>
        <color rgb="FF00B050"/>
      </dataBar>
      <extLst>
        <ext xmlns:x14="http://schemas.microsoft.com/office/spreadsheetml/2009/9/main" uri="{B025F937-C7B1-47D3-B67F-A62EFF666E3E}">
          <x14:id>{908544B1-090B-44C4-B30B-CB96F3CA3BCD}</x14:id>
        </ext>
      </extLst>
    </cfRule>
  </conditionalFormatting>
  <conditionalFormatting sqref="K7">
    <cfRule type="dataBar" priority="40">
      <dataBar>
        <cfvo type="num" val="0"/>
        <cfvo type="num" val="1"/>
        <color rgb="FF00B050"/>
      </dataBar>
      <extLst>
        <ext xmlns:x14="http://schemas.microsoft.com/office/spreadsheetml/2009/9/main" uri="{B025F937-C7B1-47D3-B67F-A62EFF666E3E}">
          <x14:id>{B6564500-B606-4631-A994-752220A70288}</x14:id>
        </ext>
      </extLst>
    </cfRule>
  </conditionalFormatting>
  <conditionalFormatting sqref="K9">
    <cfRule type="dataBar" priority="39">
      <dataBar>
        <cfvo type="num" val="0"/>
        <cfvo type="num" val="1"/>
        <color rgb="FF00B050"/>
      </dataBar>
      <extLst>
        <ext xmlns:x14="http://schemas.microsoft.com/office/spreadsheetml/2009/9/main" uri="{B025F937-C7B1-47D3-B67F-A62EFF666E3E}">
          <x14:id>{E6D83259-60A7-450D-AB22-62DB72585E15}</x14:id>
        </ext>
      </extLst>
    </cfRule>
  </conditionalFormatting>
  <conditionalFormatting sqref="K11">
    <cfRule type="dataBar" priority="38">
      <dataBar>
        <cfvo type="num" val="0"/>
        <cfvo type="num" val="1"/>
        <color rgb="FF00B050"/>
      </dataBar>
      <extLst>
        <ext xmlns:x14="http://schemas.microsoft.com/office/spreadsheetml/2009/9/main" uri="{B025F937-C7B1-47D3-B67F-A62EFF666E3E}">
          <x14:id>{7E05269D-6E58-41AB-BA18-63036342F6DF}</x14:id>
        </ext>
      </extLst>
    </cfRule>
  </conditionalFormatting>
  <conditionalFormatting sqref="K13">
    <cfRule type="dataBar" priority="37">
      <dataBar>
        <cfvo type="num" val="0"/>
        <cfvo type="num" val="1"/>
        <color rgb="FF00B050"/>
      </dataBar>
      <extLst>
        <ext xmlns:x14="http://schemas.microsoft.com/office/spreadsheetml/2009/9/main" uri="{B025F937-C7B1-47D3-B67F-A62EFF666E3E}">
          <x14:id>{2B22DC9C-EE27-457F-B968-BC58A3F9FC25}</x14:id>
        </ext>
      </extLst>
    </cfRule>
  </conditionalFormatting>
  <conditionalFormatting sqref="K15">
    <cfRule type="dataBar" priority="36">
      <dataBar>
        <cfvo type="num" val="0"/>
        <cfvo type="num" val="1"/>
        <color rgb="FF00B050"/>
      </dataBar>
      <extLst>
        <ext xmlns:x14="http://schemas.microsoft.com/office/spreadsheetml/2009/9/main" uri="{B025F937-C7B1-47D3-B67F-A62EFF666E3E}">
          <x14:id>{FB9A8542-D111-4D59-BE7E-C4418E3D2B62}</x14:id>
        </ext>
      </extLst>
    </cfRule>
  </conditionalFormatting>
  <conditionalFormatting sqref="K17">
    <cfRule type="dataBar" priority="35">
      <dataBar>
        <cfvo type="num" val="0"/>
        <cfvo type="num" val="1"/>
        <color rgb="FF00B050"/>
      </dataBar>
      <extLst>
        <ext xmlns:x14="http://schemas.microsoft.com/office/spreadsheetml/2009/9/main" uri="{B025F937-C7B1-47D3-B67F-A62EFF666E3E}">
          <x14:id>{10C205BA-16AB-4966-A917-CBCD81FDFE2C}</x14:id>
        </ext>
      </extLst>
    </cfRule>
  </conditionalFormatting>
  <conditionalFormatting sqref="K19:K20">
    <cfRule type="dataBar" priority="34">
      <dataBar>
        <cfvo type="num" val="0"/>
        <cfvo type="num" val="1"/>
        <color rgb="FF00B050"/>
      </dataBar>
      <extLst>
        <ext xmlns:x14="http://schemas.microsoft.com/office/spreadsheetml/2009/9/main" uri="{B025F937-C7B1-47D3-B67F-A62EFF666E3E}">
          <x14:id>{07BDD980-20F8-4753-BA8A-CD7057A25E18}</x14:id>
        </ext>
      </extLst>
    </cfRule>
  </conditionalFormatting>
  <conditionalFormatting sqref="L5">
    <cfRule type="dataBar" priority="33">
      <dataBar>
        <cfvo type="num" val="0"/>
        <cfvo type="num" val="1"/>
        <color rgb="FF00B050"/>
      </dataBar>
      <extLst>
        <ext xmlns:x14="http://schemas.microsoft.com/office/spreadsheetml/2009/9/main" uri="{B025F937-C7B1-47D3-B67F-A62EFF666E3E}">
          <x14:id>{E84F0BA2-63B2-47C7-B4EC-2120C242B149}</x14:id>
        </ext>
      </extLst>
    </cfRule>
  </conditionalFormatting>
  <conditionalFormatting sqref="L7">
    <cfRule type="dataBar" priority="32">
      <dataBar>
        <cfvo type="num" val="0"/>
        <cfvo type="num" val="1"/>
        <color rgb="FF00B050"/>
      </dataBar>
      <extLst>
        <ext xmlns:x14="http://schemas.microsoft.com/office/spreadsheetml/2009/9/main" uri="{B025F937-C7B1-47D3-B67F-A62EFF666E3E}">
          <x14:id>{A597F33B-2C97-4C75-B49F-429C5EF5B22C}</x14:id>
        </ext>
      </extLst>
    </cfRule>
  </conditionalFormatting>
  <conditionalFormatting sqref="L9">
    <cfRule type="dataBar" priority="31">
      <dataBar>
        <cfvo type="num" val="0"/>
        <cfvo type="num" val="1"/>
        <color rgb="FF00B050"/>
      </dataBar>
      <extLst>
        <ext xmlns:x14="http://schemas.microsoft.com/office/spreadsheetml/2009/9/main" uri="{B025F937-C7B1-47D3-B67F-A62EFF666E3E}">
          <x14:id>{1397600F-C739-4D97-B323-C3ED5104E933}</x14:id>
        </ext>
      </extLst>
    </cfRule>
  </conditionalFormatting>
  <conditionalFormatting sqref="L11">
    <cfRule type="dataBar" priority="30">
      <dataBar>
        <cfvo type="num" val="0"/>
        <cfvo type="num" val="1"/>
        <color rgb="FF00B050"/>
      </dataBar>
      <extLst>
        <ext xmlns:x14="http://schemas.microsoft.com/office/spreadsheetml/2009/9/main" uri="{B025F937-C7B1-47D3-B67F-A62EFF666E3E}">
          <x14:id>{8842D41A-E3A9-419C-BC77-C43538CFAB1B}</x14:id>
        </ext>
      </extLst>
    </cfRule>
  </conditionalFormatting>
  <conditionalFormatting sqref="L13">
    <cfRule type="dataBar" priority="29">
      <dataBar>
        <cfvo type="num" val="0"/>
        <cfvo type="num" val="1"/>
        <color rgb="FF00B050"/>
      </dataBar>
      <extLst>
        <ext xmlns:x14="http://schemas.microsoft.com/office/spreadsheetml/2009/9/main" uri="{B025F937-C7B1-47D3-B67F-A62EFF666E3E}">
          <x14:id>{10BD739E-A4CE-4AFF-A4EC-AE7FB340751F}</x14:id>
        </ext>
      </extLst>
    </cfRule>
  </conditionalFormatting>
  <conditionalFormatting sqref="L15">
    <cfRule type="dataBar" priority="28">
      <dataBar>
        <cfvo type="num" val="0"/>
        <cfvo type="num" val="1"/>
        <color rgb="FF00B050"/>
      </dataBar>
      <extLst>
        <ext xmlns:x14="http://schemas.microsoft.com/office/spreadsheetml/2009/9/main" uri="{B025F937-C7B1-47D3-B67F-A62EFF666E3E}">
          <x14:id>{7EA281F4-207B-4399-B0E7-4279ACF518BD}</x14:id>
        </ext>
      </extLst>
    </cfRule>
  </conditionalFormatting>
  <conditionalFormatting sqref="L17">
    <cfRule type="dataBar" priority="27">
      <dataBar>
        <cfvo type="num" val="0"/>
        <cfvo type="num" val="1"/>
        <color rgb="FF00B050"/>
      </dataBar>
      <extLst>
        <ext xmlns:x14="http://schemas.microsoft.com/office/spreadsheetml/2009/9/main" uri="{B025F937-C7B1-47D3-B67F-A62EFF666E3E}">
          <x14:id>{3B94F12D-CA5B-4FF4-89E9-93DA80602109}</x14:id>
        </ext>
      </extLst>
    </cfRule>
  </conditionalFormatting>
  <conditionalFormatting sqref="L19:L20">
    <cfRule type="dataBar" priority="26">
      <dataBar>
        <cfvo type="num" val="0"/>
        <cfvo type="num" val="1"/>
        <color rgb="FF00B050"/>
      </dataBar>
      <extLst>
        <ext xmlns:x14="http://schemas.microsoft.com/office/spreadsheetml/2009/9/main" uri="{B025F937-C7B1-47D3-B67F-A62EFF666E3E}">
          <x14:id>{38B1CABF-62FC-4BA0-8E32-63AAB0B785C1}</x14:id>
        </ext>
      </extLst>
    </cfRule>
  </conditionalFormatting>
  <conditionalFormatting sqref="M5">
    <cfRule type="dataBar" priority="25">
      <dataBar>
        <cfvo type="num" val="0"/>
        <cfvo type="num" val="1"/>
        <color rgb="FF00B050"/>
      </dataBar>
      <extLst>
        <ext xmlns:x14="http://schemas.microsoft.com/office/spreadsheetml/2009/9/main" uri="{B025F937-C7B1-47D3-B67F-A62EFF666E3E}">
          <x14:id>{5E7AE5B4-EF6E-401F-ACA3-142CE9BFFA3C}</x14:id>
        </ext>
      </extLst>
    </cfRule>
  </conditionalFormatting>
  <conditionalFormatting sqref="M7">
    <cfRule type="dataBar" priority="24">
      <dataBar>
        <cfvo type="num" val="0"/>
        <cfvo type="num" val="1"/>
        <color rgb="FF00B050"/>
      </dataBar>
      <extLst>
        <ext xmlns:x14="http://schemas.microsoft.com/office/spreadsheetml/2009/9/main" uri="{B025F937-C7B1-47D3-B67F-A62EFF666E3E}">
          <x14:id>{98AF896C-87ED-4762-BD6F-E261CC7D0CF0}</x14:id>
        </ext>
      </extLst>
    </cfRule>
  </conditionalFormatting>
  <conditionalFormatting sqref="M9">
    <cfRule type="dataBar" priority="23">
      <dataBar>
        <cfvo type="num" val="0"/>
        <cfvo type="num" val="1"/>
        <color rgb="FF00B050"/>
      </dataBar>
      <extLst>
        <ext xmlns:x14="http://schemas.microsoft.com/office/spreadsheetml/2009/9/main" uri="{B025F937-C7B1-47D3-B67F-A62EFF666E3E}">
          <x14:id>{DF42376D-2F2F-4552-B846-C3A6030E6D48}</x14:id>
        </ext>
      </extLst>
    </cfRule>
  </conditionalFormatting>
  <conditionalFormatting sqref="M11">
    <cfRule type="dataBar" priority="22">
      <dataBar>
        <cfvo type="num" val="0"/>
        <cfvo type="num" val="1"/>
        <color rgb="FF00B050"/>
      </dataBar>
      <extLst>
        <ext xmlns:x14="http://schemas.microsoft.com/office/spreadsheetml/2009/9/main" uri="{B025F937-C7B1-47D3-B67F-A62EFF666E3E}">
          <x14:id>{AFEC4EA5-280D-4D1E-A097-7E65E1FD594D}</x14:id>
        </ext>
      </extLst>
    </cfRule>
  </conditionalFormatting>
  <conditionalFormatting sqref="M13">
    <cfRule type="dataBar" priority="21">
      <dataBar>
        <cfvo type="num" val="0"/>
        <cfvo type="num" val="1"/>
        <color rgb="FF00B050"/>
      </dataBar>
      <extLst>
        <ext xmlns:x14="http://schemas.microsoft.com/office/spreadsheetml/2009/9/main" uri="{B025F937-C7B1-47D3-B67F-A62EFF666E3E}">
          <x14:id>{10A79D02-BEBE-4409-B945-CE66286CC44B}</x14:id>
        </ext>
      </extLst>
    </cfRule>
  </conditionalFormatting>
  <conditionalFormatting sqref="M15">
    <cfRule type="dataBar" priority="20">
      <dataBar>
        <cfvo type="num" val="0"/>
        <cfvo type="num" val="1"/>
        <color rgb="FF00B050"/>
      </dataBar>
      <extLst>
        <ext xmlns:x14="http://schemas.microsoft.com/office/spreadsheetml/2009/9/main" uri="{B025F937-C7B1-47D3-B67F-A62EFF666E3E}">
          <x14:id>{5535859D-8B3A-45D4-87D2-67BAF22BB6A5}</x14:id>
        </ext>
      </extLst>
    </cfRule>
  </conditionalFormatting>
  <conditionalFormatting sqref="M17">
    <cfRule type="dataBar" priority="19">
      <dataBar>
        <cfvo type="num" val="0"/>
        <cfvo type="num" val="1"/>
        <color rgb="FF00B050"/>
      </dataBar>
      <extLst>
        <ext xmlns:x14="http://schemas.microsoft.com/office/spreadsheetml/2009/9/main" uri="{B025F937-C7B1-47D3-B67F-A62EFF666E3E}">
          <x14:id>{5903B015-B6DD-442B-A159-336E7A71B538}</x14:id>
        </ext>
      </extLst>
    </cfRule>
  </conditionalFormatting>
  <conditionalFormatting sqref="M19:M20">
    <cfRule type="dataBar" priority="18">
      <dataBar>
        <cfvo type="num" val="0"/>
        <cfvo type="num" val="1"/>
        <color rgb="FF00B050"/>
      </dataBar>
      <extLst>
        <ext xmlns:x14="http://schemas.microsoft.com/office/spreadsheetml/2009/9/main" uri="{B025F937-C7B1-47D3-B67F-A62EFF666E3E}">
          <x14:id>{EF43F323-02FA-4671-AE0E-D201760A7E36}</x14:id>
        </ext>
      </extLst>
    </cfRule>
  </conditionalFormatting>
  <conditionalFormatting sqref="N5">
    <cfRule type="dataBar" priority="17">
      <dataBar>
        <cfvo type="num" val="0"/>
        <cfvo type="num" val="1"/>
        <color rgb="FF00B050"/>
      </dataBar>
      <extLst>
        <ext xmlns:x14="http://schemas.microsoft.com/office/spreadsheetml/2009/9/main" uri="{B025F937-C7B1-47D3-B67F-A62EFF666E3E}">
          <x14:id>{253E819C-9731-40FE-9A27-CD92388751B4}</x14:id>
        </ext>
      </extLst>
    </cfRule>
  </conditionalFormatting>
  <conditionalFormatting sqref="N7">
    <cfRule type="dataBar" priority="16">
      <dataBar>
        <cfvo type="num" val="0"/>
        <cfvo type="num" val="1"/>
        <color rgb="FF00B050"/>
      </dataBar>
      <extLst>
        <ext xmlns:x14="http://schemas.microsoft.com/office/spreadsheetml/2009/9/main" uri="{B025F937-C7B1-47D3-B67F-A62EFF666E3E}">
          <x14:id>{846D1B7E-ED9F-4622-8F80-8E1F90083825}</x14:id>
        </ext>
      </extLst>
    </cfRule>
  </conditionalFormatting>
  <conditionalFormatting sqref="N9">
    <cfRule type="dataBar" priority="15">
      <dataBar>
        <cfvo type="num" val="0"/>
        <cfvo type="num" val="1"/>
        <color rgb="FF00B050"/>
      </dataBar>
      <extLst>
        <ext xmlns:x14="http://schemas.microsoft.com/office/spreadsheetml/2009/9/main" uri="{B025F937-C7B1-47D3-B67F-A62EFF666E3E}">
          <x14:id>{B18155AD-2E17-48D7-9DF3-643B5810A256}</x14:id>
        </ext>
      </extLst>
    </cfRule>
  </conditionalFormatting>
  <conditionalFormatting sqref="N11">
    <cfRule type="dataBar" priority="14">
      <dataBar>
        <cfvo type="num" val="0"/>
        <cfvo type="num" val="1"/>
        <color rgb="FF00B050"/>
      </dataBar>
      <extLst>
        <ext xmlns:x14="http://schemas.microsoft.com/office/spreadsheetml/2009/9/main" uri="{B025F937-C7B1-47D3-B67F-A62EFF666E3E}">
          <x14:id>{2B2FD82C-C17D-4FFA-88BB-F8E2CA51BDFC}</x14:id>
        </ext>
      </extLst>
    </cfRule>
  </conditionalFormatting>
  <conditionalFormatting sqref="N13">
    <cfRule type="dataBar" priority="13">
      <dataBar>
        <cfvo type="num" val="0"/>
        <cfvo type="num" val="1"/>
        <color rgb="FF00B050"/>
      </dataBar>
      <extLst>
        <ext xmlns:x14="http://schemas.microsoft.com/office/spreadsheetml/2009/9/main" uri="{B025F937-C7B1-47D3-B67F-A62EFF666E3E}">
          <x14:id>{5DE5DA76-98A9-48A4-AD58-F51B72E3D99E}</x14:id>
        </ext>
      </extLst>
    </cfRule>
  </conditionalFormatting>
  <conditionalFormatting sqref="N15">
    <cfRule type="dataBar" priority="12">
      <dataBar>
        <cfvo type="num" val="0"/>
        <cfvo type="num" val="1"/>
        <color rgb="FF00B050"/>
      </dataBar>
      <extLst>
        <ext xmlns:x14="http://schemas.microsoft.com/office/spreadsheetml/2009/9/main" uri="{B025F937-C7B1-47D3-B67F-A62EFF666E3E}">
          <x14:id>{59E4EFF4-7AF1-4244-9314-F7F81F6E4728}</x14:id>
        </ext>
      </extLst>
    </cfRule>
  </conditionalFormatting>
  <conditionalFormatting sqref="N17">
    <cfRule type="dataBar" priority="11">
      <dataBar>
        <cfvo type="num" val="0"/>
        <cfvo type="num" val="1"/>
        <color rgb="FF00B050"/>
      </dataBar>
      <extLst>
        <ext xmlns:x14="http://schemas.microsoft.com/office/spreadsheetml/2009/9/main" uri="{B025F937-C7B1-47D3-B67F-A62EFF666E3E}">
          <x14:id>{FD48A0B6-EB20-4730-98E3-C6071F8D5D53}</x14:id>
        </ext>
      </extLst>
    </cfRule>
  </conditionalFormatting>
  <conditionalFormatting sqref="N19:N20">
    <cfRule type="dataBar" priority="10">
      <dataBar>
        <cfvo type="num" val="0"/>
        <cfvo type="num" val="1"/>
        <color rgb="FF00B050"/>
      </dataBar>
      <extLst>
        <ext xmlns:x14="http://schemas.microsoft.com/office/spreadsheetml/2009/9/main" uri="{B025F937-C7B1-47D3-B67F-A62EFF666E3E}">
          <x14:id>{C6D3A350-3EB4-43FE-92B4-15A1EBFFD8C3}</x14:id>
        </ext>
      </extLst>
    </cfRule>
  </conditionalFormatting>
  <conditionalFormatting sqref="O5">
    <cfRule type="dataBar" priority="9">
      <dataBar>
        <cfvo type="num" val="0"/>
        <cfvo type="num" val="1"/>
        <color rgb="FF00B050"/>
      </dataBar>
      <extLst>
        <ext xmlns:x14="http://schemas.microsoft.com/office/spreadsheetml/2009/9/main" uri="{B025F937-C7B1-47D3-B67F-A62EFF666E3E}">
          <x14:id>{CA5467CC-73AF-4E33-8416-77C2CF66FF2E}</x14:id>
        </ext>
      </extLst>
    </cfRule>
  </conditionalFormatting>
  <conditionalFormatting sqref="O7">
    <cfRule type="dataBar" priority="8">
      <dataBar>
        <cfvo type="num" val="0"/>
        <cfvo type="num" val="1"/>
        <color rgb="FF00B050"/>
      </dataBar>
      <extLst>
        <ext xmlns:x14="http://schemas.microsoft.com/office/spreadsheetml/2009/9/main" uri="{B025F937-C7B1-47D3-B67F-A62EFF666E3E}">
          <x14:id>{F9CCB192-869C-4147-B68B-17124083B483}</x14:id>
        </ext>
      </extLst>
    </cfRule>
  </conditionalFormatting>
  <conditionalFormatting sqref="O9">
    <cfRule type="dataBar" priority="7">
      <dataBar>
        <cfvo type="num" val="0"/>
        <cfvo type="num" val="1"/>
        <color rgb="FF00B050"/>
      </dataBar>
      <extLst>
        <ext xmlns:x14="http://schemas.microsoft.com/office/spreadsheetml/2009/9/main" uri="{B025F937-C7B1-47D3-B67F-A62EFF666E3E}">
          <x14:id>{041F6D38-4731-4495-904F-C911E1179026}</x14:id>
        </ext>
      </extLst>
    </cfRule>
  </conditionalFormatting>
  <conditionalFormatting sqref="O11">
    <cfRule type="dataBar" priority="6">
      <dataBar>
        <cfvo type="num" val="0"/>
        <cfvo type="num" val="1"/>
        <color rgb="FF00B050"/>
      </dataBar>
      <extLst>
        <ext xmlns:x14="http://schemas.microsoft.com/office/spreadsheetml/2009/9/main" uri="{B025F937-C7B1-47D3-B67F-A62EFF666E3E}">
          <x14:id>{71F83A0B-7D54-4639-9C5C-A7976283E60E}</x14:id>
        </ext>
      </extLst>
    </cfRule>
  </conditionalFormatting>
  <conditionalFormatting sqref="O13">
    <cfRule type="dataBar" priority="5">
      <dataBar>
        <cfvo type="num" val="0"/>
        <cfvo type="num" val="1"/>
        <color rgb="FF00B050"/>
      </dataBar>
      <extLst>
        <ext xmlns:x14="http://schemas.microsoft.com/office/spreadsheetml/2009/9/main" uri="{B025F937-C7B1-47D3-B67F-A62EFF666E3E}">
          <x14:id>{895CB58E-0E58-4417-A1D5-218CAC0F79B8}</x14:id>
        </ext>
      </extLst>
    </cfRule>
  </conditionalFormatting>
  <conditionalFormatting sqref="O15">
    <cfRule type="dataBar" priority="4">
      <dataBar>
        <cfvo type="num" val="0"/>
        <cfvo type="num" val="1"/>
        <color rgb="FF00B050"/>
      </dataBar>
      <extLst>
        <ext xmlns:x14="http://schemas.microsoft.com/office/spreadsheetml/2009/9/main" uri="{B025F937-C7B1-47D3-B67F-A62EFF666E3E}">
          <x14:id>{028DB799-56BD-42F3-8060-558743D37AC6}</x14:id>
        </ext>
      </extLst>
    </cfRule>
  </conditionalFormatting>
  <conditionalFormatting sqref="O17">
    <cfRule type="dataBar" priority="3">
      <dataBar>
        <cfvo type="num" val="0"/>
        <cfvo type="num" val="1"/>
        <color rgb="FF00B050"/>
      </dataBar>
      <extLst>
        <ext xmlns:x14="http://schemas.microsoft.com/office/spreadsheetml/2009/9/main" uri="{B025F937-C7B1-47D3-B67F-A62EFF666E3E}">
          <x14:id>{D476D6CC-CC1F-4553-9481-180B40D8A2F7}</x14:id>
        </ext>
      </extLst>
    </cfRule>
  </conditionalFormatting>
  <conditionalFormatting sqref="O19:O20">
    <cfRule type="dataBar" priority="2">
      <dataBar>
        <cfvo type="num" val="0"/>
        <cfvo type="num" val="1"/>
        <color rgb="FF00B050"/>
      </dataBar>
      <extLst>
        <ext xmlns:x14="http://schemas.microsoft.com/office/spreadsheetml/2009/9/main" uri="{B025F937-C7B1-47D3-B67F-A62EFF666E3E}">
          <x14:id>{FA445F7B-DE98-4AF4-8682-974BB37C6370}</x14:id>
        </ext>
      </extLst>
    </cfRule>
  </conditionalFormatting>
  <dataValidations count="1">
    <dataValidation type="list" allowBlank="1" showInputMessage="1" showErrorMessage="1" sqref="R4:R20" xr:uid="{00000000-0002-0000-0000-000000000000}">
      <formula1>"▲,○"</formula1>
    </dataValidation>
  </dataValidations>
  <pageMargins left="0.69930555555555596" right="0.69930555555555596"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7575D771-CE4B-4D66-B6B7-9CE5A65043C1}">
            <x14:dataBar minLength="0" maxLength="100" negativeBarColorSameAsPositive="1" axisPosition="none">
              <x14:cfvo type="num">
                <xm:f>0</xm:f>
              </x14:cfvo>
              <x14:cfvo type="num">
                <xm:f>1</xm:f>
              </x14:cfvo>
            </x14:dataBar>
          </x14:cfRule>
          <xm:sqref>H5</xm:sqref>
        </x14:conditionalFormatting>
        <x14:conditionalFormatting xmlns:xm="http://schemas.microsoft.com/office/excel/2006/main">
          <x14:cfRule type="dataBar" id="{52C22E88-4D17-4FBB-9119-1A74215C5A6F}">
            <x14:dataBar minLength="0" maxLength="100" negativeBarColorSameAsPositive="1" axisPosition="none">
              <x14:cfvo type="num">
                <xm:f>0</xm:f>
              </x14:cfvo>
              <x14:cfvo type="num">
                <xm:f>1</xm:f>
              </x14:cfvo>
            </x14:dataBar>
          </x14:cfRule>
          <xm:sqref>H7</xm:sqref>
        </x14:conditionalFormatting>
        <x14:conditionalFormatting xmlns:xm="http://schemas.microsoft.com/office/excel/2006/main">
          <x14:cfRule type="dataBar" id="{06234DF4-136A-4DBA-B24E-6C4A28119DAE}">
            <x14:dataBar minLength="0" maxLength="100" negativeBarColorSameAsPositive="1" axisPosition="none">
              <x14:cfvo type="num">
                <xm:f>0</xm:f>
              </x14:cfvo>
              <x14:cfvo type="num">
                <xm:f>1</xm:f>
              </x14:cfvo>
            </x14:dataBar>
          </x14:cfRule>
          <xm:sqref>H9</xm:sqref>
        </x14:conditionalFormatting>
        <x14:conditionalFormatting xmlns:xm="http://schemas.microsoft.com/office/excel/2006/main">
          <x14:cfRule type="dataBar" id="{C8892534-43F6-4B9D-8F1F-5CB251863AE6}">
            <x14:dataBar minLength="0" maxLength="100" negativeBarColorSameAsPositive="1" axisPosition="none">
              <x14:cfvo type="num">
                <xm:f>0</xm:f>
              </x14:cfvo>
              <x14:cfvo type="num">
                <xm:f>1</xm:f>
              </x14:cfvo>
            </x14:dataBar>
          </x14:cfRule>
          <xm:sqref>H11</xm:sqref>
        </x14:conditionalFormatting>
        <x14:conditionalFormatting xmlns:xm="http://schemas.microsoft.com/office/excel/2006/main">
          <x14:cfRule type="dataBar" id="{BA681610-5357-4635-A097-E8473BB0F913}">
            <x14:dataBar minLength="0" maxLength="100" negativeBarColorSameAsPositive="1" axisPosition="none">
              <x14:cfvo type="num">
                <xm:f>0</xm:f>
              </x14:cfvo>
              <x14:cfvo type="num">
                <xm:f>1</xm:f>
              </x14:cfvo>
            </x14:dataBar>
          </x14:cfRule>
          <xm:sqref>H13</xm:sqref>
        </x14:conditionalFormatting>
        <x14:conditionalFormatting xmlns:xm="http://schemas.microsoft.com/office/excel/2006/main">
          <x14:cfRule type="dataBar" id="{01CD71FC-D00D-441A-9700-0A6A3F21CAE4}">
            <x14:dataBar minLength="0" maxLength="100" negativeBarColorSameAsPositive="1" axisPosition="none">
              <x14:cfvo type="num">
                <xm:f>0</xm:f>
              </x14:cfvo>
              <x14:cfvo type="num">
                <xm:f>1</xm:f>
              </x14:cfvo>
            </x14:dataBar>
          </x14:cfRule>
          <xm:sqref>H15</xm:sqref>
        </x14:conditionalFormatting>
        <x14:conditionalFormatting xmlns:xm="http://schemas.microsoft.com/office/excel/2006/main">
          <x14:cfRule type="dataBar" id="{474BB0C9-DA5F-4E88-8B76-E8B86581F55D}">
            <x14:dataBar minLength="0" maxLength="100" negativeBarColorSameAsPositive="1" axisPosition="none">
              <x14:cfvo type="num">
                <xm:f>0</xm:f>
              </x14:cfvo>
              <x14:cfvo type="num">
                <xm:f>1</xm:f>
              </x14:cfvo>
            </x14:dataBar>
          </x14:cfRule>
          <xm:sqref>H17</xm:sqref>
        </x14:conditionalFormatting>
        <x14:conditionalFormatting xmlns:xm="http://schemas.microsoft.com/office/excel/2006/main">
          <x14:cfRule type="dataBar" id="{8ED9D390-5736-4DDC-88F2-80F16D3BF331}">
            <x14:dataBar minLength="0" maxLength="100" negativeBarColorSameAsPositive="1" axisPosition="none">
              <x14:cfvo type="num">
                <xm:f>0</xm:f>
              </x14:cfvo>
              <x14:cfvo type="num">
                <xm:f>1</xm:f>
              </x14:cfvo>
            </x14:dataBar>
          </x14:cfRule>
          <xm:sqref>H19:H20</xm:sqref>
        </x14:conditionalFormatting>
        <x14:conditionalFormatting xmlns:xm="http://schemas.microsoft.com/office/excel/2006/main">
          <x14:cfRule type="dataBar" id="{2B02C835-86E6-4386-B9F0-ECE609268D05}">
            <x14:dataBar minLength="0" maxLength="100" negativeBarColorSameAsPositive="1" axisPosition="none">
              <x14:cfvo type="num">
                <xm:f>0</xm:f>
              </x14:cfvo>
              <x14:cfvo type="num">
                <xm:f>1</xm:f>
              </x14:cfvo>
            </x14:dataBar>
          </x14:cfRule>
          <xm:sqref>I5</xm:sqref>
        </x14:conditionalFormatting>
        <x14:conditionalFormatting xmlns:xm="http://schemas.microsoft.com/office/excel/2006/main">
          <x14:cfRule type="dataBar" id="{F390CBC5-1434-465D-9AC6-F8ECEF6404C8}">
            <x14:dataBar minLength="0" maxLength="100" negativeBarColorSameAsPositive="1" axisPosition="none">
              <x14:cfvo type="num">
                <xm:f>0</xm:f>
              </x14:cfvo>
              <x14:cfvo type="num">
                <xm:f>1</xm:f>
              </x14:cfvo>
            </x14:dataBar>
          </x14:cfRule>
          <xm:sqref>I7</xm:sqref>
        </x14:conditionalFormatting>
        <x14:conditionalFormatting xmlns:xm="http://schemas.microsoft.com/office/excel/2006/main">
          <x14:cfRule type="dataBar" id="{CAD63D26-57F6-401D-9564-CEC98053A016}">
            <x14:dataBar minLength="0" maxLength="100" negativeBarColorSameAsPositive="1" axisPosition="none">
              <x14:cfvo type="num">
                <xm:f>0</xm:f>
              </x14:cfvo>
              <x14:cfvo type="num">
                <xm:f>1</xm:f>
              </x14:cfvo>
            </x14:dataBar>
          </x14:cfRule>
          <xm:sqref>I9</xm:sqref>
        </x14:conditionalFormatting>
        <x14:conditionalFormatting xmlns:xm="http://schemas.microsoft.com/office/excel/2006/main">
          <x14:cfRule type="dataBar" id="{DB4419B6-F8B3-41DD-A3CC-0269CCBBE9B8}">
            <x14:dataBar minLength="0" maxLength="100" negativeBarColorSameAsPositive="1" axisPosition="none">
              <x14:cfvo type="num">
                <xm:f>0</xm:f>
              </x14:cfvo>
              <x14:cfvo type="num">
                <xm:f>1</xm:f>
              </x14:cfvo>
            </x14:dataBar>
          </x14:cfRule>
          <xm:sqref>I11</xm:sqref>
        </x14:conditionalFormatting>
        <x14:conditionalFormatting xmlns:xm="http://schemas.microsoft.com/office/excel/2006/main">
          <x14:cfRule type="dataBar" id="{3DBB32EC-C6A7-46E6-BF10-D6E2934DD44D}">
            <x14:dataBar minLength="0" maxLength="100" negativeBarColorSameAsPositive="1" axisPosition="none">
              <x14:cfvo type="num">
                <xm:f>0</xm:f>
              </x14:cfvo>
              <x14:cfvo type="num">
                <xm:f>1</xm:f>
              </x14:cfvo>
            </x14:dataBar>
          </x14:cfRule>
          <xm:sqref>I13</xm:sqref>
        </x14:conditionalFormatting>
        <x14:conditionalFormatting xmlns:xm="http://schemas.microsoft.com/office/excel/2006/main">
          <x14:cfRule type="dataBar" id="{9B4DC084-CB57-4655-A030-F761806CC3F8}">
            <x14:dataBar minLength="0" maxLength="100" negativeBarColorSameAsPositive="1" axisPosition="none">
              <x14:cfvo type="num">
                <xm:f>0</xm:f>
              </x14:cfvo>
              <x14:cfvo type="num">
                <xm:f>1</xm:f>
              </x14:cfvo>
            </x14:dataBar>
          </x14:cfRule>
          <xm:sqref>I15</xm:sqref>
        </x14:conditionalFormatting>
        <x14:conditionalFormatting xmlns:xm="http://schemas.microsoft.com/office/excel/2006/main">
          <x14:cfRule type="dataBar" id="{034A2121-6212-49F8-8536-AEC449BB0CE5}">
            <x14:dataBar minLength="0" maxLength="100" negativeBarColorSameAsPositive="1" axisPosition="none">
              <x14:cfvo type="num">
                <xm:f>0</xm:f>
              </x14:cfvo>
              <x14:cfvo type="num">
                <xm:f>1</xm:f>
              </x14:cfvo>
            </x14:dataBar>
          </x14:cfRule>
          <xm:sqref>I17</xm:sqref>
        </x14:conditionalFormatting>
        <x14:conditionalFormatting xmlns:xm="http://schemas.microsoft.com/office/excel/2006/main">
          <x14:cfRule type="dataBar" id="{82171632-1B26-4D66-8364-036677234548}">
            <x14:dataBar minLength="0" maxLength="100" negativeBarColorSameAsPositive="1" axisPosition="none">
              <x14:cfvo type="num">
                <xm:f>0</xm:f>
              </x14:cfvo>
              <x14:cfvo type="num">
                <xm:f>1</xm:f>
              </x14:cfvo>
            </x14:dataBar>
          </x14:cfRule>
          <xm:sqref>I19:I20</xm:sqref>
        </x14:conditionalFormatting>
        <x14:conditionalFormatting xmlns:xm="http://schemas.microsoft.com/office/excel/2006/main">
          <x14:cfRule type="dataBar" id="{F6DE5E29-E556-4257-8E01-4F3EAECE4C26}">
            <x14:dataBar minLength="0" maxLength="100" negativeBarColorSameAsPositive="1" axisPosition="none">
              <x14:cfvo type="num">
                <xm:f>0</xm:f>
              </x14:cfvo>
              <x14:cfvo type="num">
                <xm:f>1</xm:f>
              </x14:cfvo>
            </x14:dataBar>
          </x14:cfRule>
          <xm:sqref>J5</xm:sqref>
        </x14:conditionalFormatting>
        <x14:conditionalFormatting xmlns:xm="http://schemas.microsoft.com/office/excel/2006/main">
          <x14:cfRule type="dataBar" id="{54A01648-F102-4D64-9541-E29986915440}">
            <x14:dataBar minLength="0" maxLength="100" negativeBarColorSameAsPositive="1" axisPosition="none">
              <x14:cfvo type="num">
                <xm:f>0</xm:f>
              </x14:cfvo>
              <x14:cfvo type="num">
                <xm:f>1</xm:f>
              </x14:cfvo>
            </x14:dataBar>
          </x14:cfRule>
          <xm:sqref>J7</xm:sqref>
        </x14:conditionalFormatting>
        <x14:conditionalFormatting xmlns:xm="http://schemas.microsoft.com/office/excel/2006/main">
          <x14:cfRule type="dataBar" id="{5E33DA29-1FC5-44C2-8AFD-6AE287AC58B9}">
            <x14:dataBar minLength="0" maxLength="100" negativeBarColorSameAsPositive="1" axisPosition="none">
              <x14:cfvo type="num">
                <xm:f>0</xm:f>
              </x14:cfvo>
              <x14:cfvo type="num">
                <xm:f>1</xm:f>
              </x14:cfvo>
            </x14:dataBar>
          </x14:cfRule>
          <xm:sqref>J9</xm:sqref>
        </x14:conditionalFormatting>
        <x14:conditionalFormatting xmlns:xm="http://schemas.microsoft.com/office/excel/2006/main">
          <x14:cfRule type="dataBar" id="{197A62E1-04C0-4AF5-A6F4-16E15A96527B}">
            <x14:dataBar minLength="0" maxLength="100" negativeBarColorSameAsPositive="1" axisPosition="none">
              <x14:cfvo type="num">
                <xm:f>0</xm:f>
              </x14:cfvo>
              <x14:cfvo type="num">
                <xm:f>1</xm:f>
              </x14:cfvo>
            </x14:dataBar>
          </x14:cfRule>
          <xm:sqref>J11</xm:sqref>
        </x14:conditionalFormatting>
        <x14:conditionalFormatting xmlns:xm="http://schemas.microsoft.com/office/excel/2006/main">
          <x14:cfRule type="dataBar" id="{5DACB66D-494D-4B4A-B294-1C3A7DAAC863}">
            <x14:dataBar minLength="0" maxLength="100" negativeBarColorSameAsPositive="1" axisPosition="none">
              <x14:cfvo type="num">
                <xm:f>0</xm:f>
              </x14:cfvo>
              <x14:cfvo type="num">
                <xm:f>1</xm:f>
              </x14:cfvo>
            </x14:dataBar>
          </x14:cfRule>
          <xm:sqref>J13</xm:sqref>
        </x14:conditionalFormatting>
        <x14:conditionalFormatting xmlns:xm="http://schemas.microsoft.com/office/excel/2006/main">
          <x14:cfRule type="dataBar" id="{C6B221FD-63B5-465E-A768-936B677B3CD6}">
            <x14:dataBar minLength="0" maxLength="100" negativeBarColorSameAsPositive="1" axisPosition="none">
              <x14:cfvo type="num">
                <xm:f>0</xm:f>
              </x14:cfvo>
              <x14:cfvo type="num">
                <xm:f>1</xm:f>
              </x14:cfvo>
            </x14:dataBar>
          </x14:cfRule>
          <xm:sqref>J15</xm:sqref>
        </x14:conditionalFormatting>
        <x14:conditionalFormatting xmlns:xm="http://schemas.microsoft.com/office/excel/2006/main">
          <x14:cfRule type="dataBar" id="{56F9CB11-68CC-42E3-8893-C841C4F691FC}">
            <x14:dataBar minLength="0" maxLength="100" negativeBarColorSameAsPositive="1" axisPosition="none">
              <x14:cfvo type="num">
                <xm:f>0</xm:f>
              </x14:cfvo>
              <x14:cfvo type="num">
                <xm:f>1</xm:f>
              </x14:cfvo>
            </x14:dataBar>
          </x14:cfRule>
          <xm:sqref>J17</xm:sqref>
        </x14:conditionalFormatting>
        <x14:conditionalFormatting xmlns:xm="http://schemas.microsoft.com/office/excel/2006/main">
          <x14:cfRule type="dataBar" id="{D20E3EAF-238D-4F37-BFD3-D64B9BEFB417}">
            <x14:dataBar minLength="0" maxLength="100" negativeBarColorSameAsPositive="1" axisPosition="none">
              <x14:cfvo type="num">
                <xm:f>0</xm:f>
              </x14:cfvo>
              <x14:cfvo type="num">
                <xm:f>1</xm:f>
              </x14:cfvo>
            </x14:dataBar>
          </x14:cfRule>
          <xm:sqref>J19:J20</xm:sqref>
        </x14:conditionalFormatting>
        <x14:conditionalFormatting xmlns:xm="http://schemas.microsoft.com/office/excel/2006/main">
          <x14:cfRule type="dataBar" id="{908544B1-090B-44C4-B30B-CB96F3CA3BCD}">
            <x14:dataBar minLength="0" maxLength="100" negativeBarColorSameAsPositive="1" axisPosition="none">
              <x14:cfvo type="num">
                <xm:f>0</xm:f>
              </x14:cfvo>
              <x14:cfvo type="num">
                <xm:f>1</xm:f>
              </x14:cfvo>
            </x14:dataBar>
          </x14:cfRule>
          <xm:sqref>K5</xm:sqref>
        </x14:conditionalFormatting>
        <x14:conditionalFormatting xmlns:xm="http://schemas.microsoft.com/office/excel/2006/main">
          <x14:cfRule type="dataBar" id="{B6564500-B606-4631-A994-752220A70288}">
            <x14:dataBar minLength="0" maxLength="100" negativeBarColorSameAsPositive="1" axisPosition="none">
              <x14:cfvo type="num">
                <xm:f>0</xm:f>
              </x14:cfvo>
              <x14:cfvo type="num">
                <xm:f>1</xm:f>
              </x14:cfvo>
            </x14:dataBar>
          </x14:cfRule>
          <xm:sqref>K7</xm:sqref>
        </x14:conditionalFormatting>
        <x14:conditionalFormatting xmlns:xm="http://schemas.microsoft.com/office/excel/2006/main">
          <x14:cfRule type="dataBar" id="{E6D83259-60A7-450D-AB22-62DB72585E15}">
            <x14:dataBar minLength="0" maxLength="100" negativeBarColorSameAsPositive="1" axisPosition="none">
              <x14:cfvo type="num">
                <xm:f>0</xm:f>
              </x14:cfvo>
              <x14:cfvo type="num">
                <xm:f>1</xm:f>
              </x14:cfvo>
            </x14:dataBar>
          </x14:cfRule>
          <xm:sqref>K9</xm:sqref>
        </x14:conditionalFormatting>
        <x14:conditionalFormatting xmlns:xm="http://schemas.microsoft.com/office/excel/2006/main">
          <x14:cfRule type="dataBar" id="{7E05269D-6E58-41AB-BA18-63036342F6DF}">
            <x14:dataBar minLength="0" maxLength="100" negativeBarColorSameAsPositive="1" axisPosition="none">
              <x14:cfvo type="num">
                <xm:f>0</xm:f>
              </x14:cfvo>
              <x14:cfvo type="num">
                <xm:f>1</xm:f>
              </x14:cfvo>
            </x14:dataBar>
          </x14:cfRule>
          <xm:sqref>K11</xm:sqref>
        </x14:conditionalFormatting>
        <x14:conditionalFormatting xmlns:xm="http://schemas.microsoft.com/office/excel/2006/main">
          <x14:cfRule type="dataBar" id="{2B22DC9C-EE27-457F-B968-BC58A3F9FC25}">
            <x14:dataBar minLength="0" maxLength="100" negativeBarColorSameAsPositive="1" axisPosition="none">
              <x14:cfvo type="num">
                <xm:f>0</xm:f>
              </x14:cfvo>
              <x14:cfvo type="num">
                <xm:f>1</xm:f>
              </x14:cfvo>
            </x14:dataBar>
          </x14:cfRule>
          <xm:sqref>K13</xm:sqref>
        </x14:conditionalFormatting>
        <x14:conditionalFormatting xmlns:xm="http://schemas.microsoft.com/office/excel/2006/main">
          <x14:cfRule type="dataBar" id="{FB9A8542-D111-4D59-BE7E-C4418E3D2B62}">
            <x14:dataBar minLength="0" maxLength="100" negativeBarColorSameAsPositive="1" axisPosition="none">
              <x14:cfvo type="num">
                <xm:f>0</xm:f>
              </x14:cfvo>
              <x14:cfvo type="num">
                <xm:f>1</xm:f>
              </x14:cfvo>
            </x14:dataBar>
          </x14:cfRule>
          <xm:sqref>K15</xm:sqref>
        </x14:conditionalFormatting>
        <x14:conditionalFormatting xmlns:xm="http://schemas.microsoft.com/office/excel/2006/main">
          <x14:cfRule type="dataBar" id="{10C205BA-16AB-4966-A917-CBCD81FDFE2C}">
            <x14:dataBar minLength="0" maxLength="100" negativeBarColorSameAsPositive="1" axisPosition="none">
              <x14:cfvo type="num">
                <xm:f>0</xm:f>
              </x14:cfvo>
              <x14:cfvo type="num">
                <xm:f>1</xm:f>
              </x14:cfvo>
            </x14:dataBar>
          </x14:cfRule>
          <xm:sqref>K17</xm:sqref>
        </x14:conditionalFormatting>
        <x14:conditionalFormatting xmlns:xm="http://schemas.microsoft.com/office/excel/2006/main">
          <x14:cfRule type="dataBar" id="{07BDD980-20F8-4753-BA8A-CD7057A25E18}">
            <x14:dataBar minLength="0" maxLength="100" negativeBarColorSameAsPositive="1" axisPosition="none">
              <x14:cfvo type="num">
                <xm:f>0</xm:f>
              </x14:cfvo>
              <x14:cfvo type="num">
                <xm:f>1</xm:f>
              </x14:cfvo>
            </x14:dataBar>
          </x14:cfRule>
          <xm:sqref>K19:K20</xm:sqref>
        </x14:conditionalFormatting>
        <x14:conditionalFormatting xmlns:xm="http://schemas.microsoft.com/office/excel/2006/main">
          <x14:cfRule type="dataBar" id="{E84F0BA2-63B2-47C7-B4EC-2120C242B149}">
            <x14:dataBar minLength="0" maxLength="100" negativeBarColorSameAsPositive="1" axisPosition="none">
              <x14:cfvo type="num">
                <xm:f>0</xm:f>
              </x14:cfvo>
              <x14:cfvo type="num">
                <xm:f>1</xm:f>
              </x14:cfvo>
            </x14:dataBar>
          </x14:cfRule>
          <xm:sqref>L5</xm:sqref>
        </x14:conditionalFormatting>
        <x14:conditionalFormatting xmlns:xm="http://schemas.microsoft.com/office/excel/2006/main">
          <x14:cfRule type="dataBar" id="{A597F33B-2C97-4C75-B49F-429C5EF5B22C}">
            <x14:dataBar minLength="0" maxLength="100" negativeBarColorSameAsPositive="1" axisPosition="none">
              <x14:cfvo type="num">
                <xm:f>0</xm:f>
              </x14:cfvo>
              <x14:cfvo type="num">
                <xm:f>1</xm:f>
              </x14:cfvo>
            </x14:dataBar>
          </x14:cfRule>
          <xm:sqref>L7</xm:sqref>
        </x14:conditionalFormatting>
        <x14:conditionalFormatting xmlns:xm="http://schemas.microsoft.com/office/excel/2006/main">
          <x14:cfRule type="dataBar" id="{1397600F-C739-4D97-B323-C3ED5104E933}">
            <x14:dataBar minLength="0" maxLength="100" negativeBarColorSameAsPositive="1" axisPosition="none">
              <x14:cfvo type="num">
                <xm:f>0</xm:f>
              </x14:cfvo>
              <x14:cfvo type="num">
                <xm:f>1</xm:f>
              </x14:cfvo>
            </x14:dataBar>
          </x14:cfRule>
          <xm:sqref>L9</xm:sqref>
        </x14:conditionalFormatting>
        <x14:conditionalFormatting xmlns:xm="http://schemas.microsoft.com/office/excel/2006/main">
          <x14:cfRule type="dataBar" id="{8842D41A-E3A9-419C-BC77-C43538CFAB1B}">
            <x14:dataBar minLength="0" maxLength="100" negativeBarColorSameAsPositive="1" axisPosition="none">
              <x14:cfvo type="num">
                <xm:f>0</xm:f>
              </x14:cfvo>
              <x14:cfvo type="num">
                <xm:f>1</xm:f>
              </x14:cfvo>
            </x14:dataBar>
          </x14:cfRule>
          <xm:sqref>L11</xm:sqref>
        </x14:conditionalFormatting>
        <x14:conditionalFormatting xmlns:xm="http://schemas.microsoft.com/office/excel/2006/main">
          <x14:cfRule type="dataBar" id="{10BD739E-A4CE-4AFF-A4EC-AE7FB340751F}">
            <x14:dataBar minLength="0" maxLength="100" negativeBarColorSameAsPositive="1" axisPosition="none">
              <x14:cfvo type="num">
                <xm:f>0</xm:f>
              </x14:cfvo>
              <x14:cfvo type="num">
                <xm:f>1</xm:f>
              </x14:cfvo>
            </x14:dataBar>
          </x14:cfRule>
          <xm:sqref>L13</xm:sqref>
        </x14:conditionalFormatting>
        <x14:conditionalFormatting xmlns:xm="http://schemas.microsoft.com/office/excel/2006/main">
          <x14:cfRule type="dataBar" id="{7EA281F4-207B-4399-B0E7-4279ACF518BD}">
            <x14:dataBar minLength="0" maxLength="100" negativeBarColorSameAsPositive="1" axisPosition="none">
              <x14:cfvo type="num">
                <xm:f>0</xm:f>
              </x14:cfvo>
              <x14:cfvo type="num">
                <xm:f>1</xm:f>
              </x14:cfvo>
            </x14:dataBar>
          </x14:cfRule>
          <xm:sqref>L15</xm:sqref>
        </x14:conditionalFormatting>
        <x14:conditionalFormatting xmlns:xm="http://schemas.microsoft.com/office/excel/2006/main">
          <x14:cfRule type="dataBar" id="{3B94F12D-CA5B-4FF4-89E9-93DA80602109}">
            <x14:dataBar minLength="0" maxLength="100" negativeBarColorSameAsPositive="1" axisPosition="none">
              <x14:cfvo type="num">
                <xm:f>0</xm:f>
              </x14:cfvo>
              <x14:cfvo type="num">
                <xm:f>1</xm:f>
              </x14:cfvo>
            </x14:dataBar>
          </x14:cfRule>
          <xm:sqref>L17</xm:sqref>
        </x14:conditionalFormatting>
        <x14:conditionalFormatting xmlns:xm="http://schemas.microsoft.com/office/excel/2006/main">
          <x14:cfRule type="dataBar" id="{38B1CABF-62FC-4BA0-8E32-63AAB0B785C1}">
            <x14:dataBar minLength="0" maxLength="100" negativeBarColorSameAsPositive="1" axisPosition="none">
              <x14:cfvo type="num">
                <xm:f>0</xm:f>
              </x14:cfvo>
              <x14:cfvo type="num">
                <xm:f>1</xm:f>
              </x14:cfvo>
            </x14:dataBar>
          </x14:cfRule>
          <xm:sqref>L19:L20</xm:sqref>
        </x14:conditionalFormatting>
        <x14:conditionalFormatting xmlns:xm="http://schemas.microsoft.com/office/excel/2006/main">
          <x14:cfRule type="dataBar" id="{5E7AE5B4-EF6E-401F-ACA3-142CE9BFFA3C}">
            <x14:dataBar minLength="0" maxLength="100" negativeBarColorSameAsPositive="1" axisPosition="none">
              <x14:cfvo type="num">
                <xm:f>0</xm:f>
              </x14:cfvo>
              <x14:cfvo type="num">
                <xm:f>1</xm:f>
              </x14:cfvo>
            </x14:dataBar>
          </x14:cfRule>
          <xm:sqref>M5</xm:sqref>
        </x14:conditionalFormatting>
        <x14:conditionalFormatting xmlns:xm="http://schemas.microsoft.com/office/excel/2006/main">
          <x14:cfRule type="dataBar" id="{98AF896C-87ED-4762-BD6F-E261CC7D0CF0}">
            <x14:dataBar minLength="0" maxLength="100" negativeBarColorSameAsPositive="1" axisPosition="none">
              <x14:cfvo type="num">
                <xm:f>0</xm:f>
              </x14:cfvo>
              <x14:cfvo type="num">
                <xm:f>1</xm:f>
              </x14:cfvo>
            </x14:dataBar>
          </x14:cfRule>
          <xm:sqref>M7</xm:sqref>
        </x14:conditionalFormatting>
        <x14:conditionalFormatting xmlns:xm="http://schemas.microsoft.com/office/excel/2006/main">
          <x14:cfRule type="dataBar" id="{DF42376D-2F2F-4552-B846-C3A6030E6D48}">
            <x14:dataBar minLength="0" maxLength="100" negativeBarColorSameAsPositive="1" axisPosition="none">
              <x14:cfvo type="num">
                <xm:f>0</xm:f>
              </x14:cfvo>
              <x14:cfvo type="num">
                <xm:f>1</xm:f>
              </x14:cfvo>
            </x14:dataBar>
          </x14:cfRule>
          <xm:sqref>M9</xm:sqref>
        </x14:conditionalFormatting>
        <x14:conditionalFormatting xmlns:xm="http://schemas.microsoft.com/office/excel/2006/main">
          <x14:cfRule type="dataBar" id="{AFEC4EA5-280D-4D1E-A097-7E65E1FD594D}">
            <x14:dataBar minLength="0" maxLength="100" negativeBarColorSameAsPositive="1" axisPosition="none">
              <x14:cfvo type="num">
                <xm:f>0</xm:f>
              </x14:cfvo>
              <x14:cfvo type="num">
                <xm:f>1</xm:f>
              </x14:cfvo>
            </x14:dataBar>
          </x14:cfRule>
          <xm:sqref>M11</xm:sqref>
        </x14:conditionalFormatting>
        <x14:conditionalFormatting xmlns:xm="http://schemas.microsoft.com/office/excel/2006/main">
          <x14:cfRule type="dataBar" id="{10A79D02-BEBE-4409-B945-CE66286CC44B}">
            <x14:dataBar minLength="0" maxLength="100" negativeBarColorSameAsPositive="1" axisPosition="none">
              <x14:cfvo type="num">
                <xm:f>0</xm:f>
              </x14:cfvo>
              <x14:cfvo type="num">
                <xm:f>1</xm:f>
              </x14:cfvo>
            </x14:dataBar>
          </x14:cfRule>
          <xm:sqref>M13</xm:sqref>
        </x14:conditionalFormatting>
        <x14:conditionalFormatting xmlns:xm="http://schemas.microsoft.com/office/excel/2006/main">
          <x14:cfRule type="dataBar" id="{5535859D-8B3A-45D4-87D2-67BAF22BB6A5}">
            <x14:dataBar minLength="0" maxLength="100" negativeBarColorSameAsPositive="1" axisPosition="none">
              <x14:cfvo type="num">
                <xm:f>0</xm:f>
              </x14:cfvo>
              <x14:cfvo type="num">
                <xm:f>1</xm:f>
              </x14:cfvo>
            </x14:dataBar>
          </x14:cfRule>
          <xm:sqref>M15</xm:sqref>
        </x14:conditionalFormatting>
        <x14:conditionalFormatting xmlns:xm="http://schemas.microsoft.com/office/excel/2006/main">
          <x14:cfRule type="dataBar" id="{5903B015-B6DD-442B-A159-336E7A71B538}">
            <x14:dataBar minLength="0" maxLength="100" negativeBarColorSameAsPositive="1" axisPosition="none">
              <x14:cfvo type="num">
                <xm:f>0</xm:f>
              </x14:cfvo>
              <x14:cfvo type="num">
                <xm:f>1</xm:f>
              </x14:cfvo>
            </x14:dataBar>
          </x14:cfRule>
          <xm:sqref>M17</xm:sqref>
        </x14:conditionalFormatting>
        <x14:conditionalFormatting xmlns:xm="http://schemas.microsoft.com/office/excel/2006/main">
          <x14:cfRule type="dataBar" id="{EF43F323-02FA-4671-AE0E-D201760A7E36}">
            <x14:dataBar minLength="0" maxLength="100" negativeBarColorSameAsPositive="1" axisPosition="none">
              <x14:cfvo type="num">
                <xm:f>0</xm:f>
              </x14:cfvo>
              <x14:cfvo type="num">
                <xm:f>1</xm:f>
              </x14:cfvo>
            </x14:dataBar>
          </x14:cfRule>
          <xm:sqref>M19:M20</xm:sqref>
        </x14:conditionalFormatting>
        <x14:conditionalFormatting xmlns:xm="http://schemas.microsoft.com/office/excel/2006/main">
          <x14:cfRule type="dataBar" id="{253E819C-9731-40FE-9A27-CD92388751B4}">
            <x14:dataBar minLength="0" maxLength="100" negativeBarColorSameAsPositive="1" axisPosition="none">
              <x14:cfvo type="num">
                <xm:f>0</xm:f>
              </x14:cfvo>
              <x14:cfvo type="num">
                <xm:f>1</xm:f>
              </x14:cfvo>
            </x14:dataBar>
          </x14:cfRule>
          <xm:sqref>N5</xm:sqref>
        </x14:conditionalFormatting>
        <x14:conditionalFormatting xmlns:xm="http://schemas.microsoft.com/office/excel/2006/main">
          <x14:cfRule type="dataBar" id="{846D1B7E-ED9F-4622-8F80-8E1F90083825}">
            <x14:dataBar minLength="0" maxLength="100" negativeBarColorSameAsPositive="1" axisPosition="none">
              <x14:cfvo type="num">
                <xm:f>0</xm:f>
              </x14:cfvo>
              <x14:cfvo type="num">
                <xm:f>1</xm:f>
              </x14:cfvo>
            </x14:dataBar>
          </x14:cfRule>
          <xm:sqref>N7</xm:sqref>
        </x14:conditionalFormatting>
        <x14:conditionalFormatting xmlns:xm="http://schemas.microsoft.com/office/excel/2006/main">
          <x14:cfRule type="dataBar" id="{B18155AD-2E17-48D7-9DF3-643B5810A256}">
            <x14:dataBar minLength="0" maxLength="100" negativeBarColorSameAsPositive="1" axisPosition="none">
              <x14:cfvo type="num">
                <xm:f>0</xm:f>
              </x14:cfvo>
              <x14:cfvo type="num">
                <xm:f>1</xm:f>
              </x14:cfvo>
            </x14:dataBar>
          </x14:cfRule>
          <xm:sqref>N9</xm:sqref>
        </x14:conditionalFormatting>
        <x14:conditionalFormatting xmlns:xm="http://schemas.microsoft.com/office/excel/2006/main">
          <x14:cfRule type="dataBar" id="{2B2FD82C-C17D-4FFA-88BB-F8E2CA51BDFC}">
            <x14:dataBar minLength="0" maxLength="100" negativeBarColorSameAsPositive="1" axisPosition="none">
              <x14:cfvo type="num">
                <xm:f>0</xm:f>
              </x14:cfvo>
              <x14:cfvo type="num">
                <xm:f>1</xm:f>
              </x14:cfvo>
            </x14:dataBar>
          </x14:cfRule>
          <xm:sqref>N11</xm:sqref>
        </x14:conditionalFormatting>
        <x14:conditionalFormatting xmlns:xm="http://schemas.microsoft.com/office/excel/2006/main">
          <x14:cfRule type="dataBar" id="{5DE5DA76-98A9-48A4-AD58-F51B72E3D99E}">
            <x14:dataBar minLength="0" maxLength="100" negativeBarColorSameAsPositive="1" axisPosition="none">
              <x14:cfvo type="num">
                <xm:f>0</xm:f>
              </x14:cfvo>
              <x14:cfvo type="num">
                <xm:f>1</xm:f>
              </x14:cfvo>
            </x14:dataBar>
          </x14:cfRule>
          <xm:sqref>N13</xm:sqref>
        </x14:conditionalFormatting>
        <x14:conditionalFormatting xmlns:xm="http://schemas.microsoft.com/office/excel/2006/main">
          <x14:cfRule type="dataBar" id="{59E4EFF4-7AF1-4244-9314-F7F81F6E4728}">
            <x14:dataBar minLength="0" maxLength="100" negativeBarColorSameAsPositive="1" axisPosition="none">
              <x14:cfvo type="num">
                <xm:f>0</xm:f>
              </x14:cfvo>
              <x14:cfvo type="num">
                <xm:f>1</xm:f>
              </x14:cfvo>
            </x14:dataBar>
          </x14:cfRule>
          <xm:sqref>N15</xm:sqref>
        </x14:conditionalFormatting>
        <x14:conditionalFormatting xmlns:xm="http://schemas.microsoft.com/office/excel/2006/main">
          <x14:cfRule type="dataBar" id="{FD48A0B6-EB20-4730-98E3-C6071F8D5D53}">
            <x14:dataBar minLength="0" maxLength="100" negativeBarColorSameAsPositive="1" axisPosition="none">
              <x14:cfvo type="num">
                <xm:f>0</xm:f>
              </x14:cfvo>
              <x14:cfvo type="num">
                <xm:f>1</xm:f>
              </x14:cfvo>
            </x14:dataBar>
          </x14:cfRule>
          <xm:sqref>N17</xm:sqref>
        </x14:conditionalFormatting>
        <x14:conditionalFormatting xmlns:xm="http://schemas.microsoft.com/office/excel/2006/main">
          <x14:cfRule type="dataBar" id="{C6D3A350-3EB4-43FE-92B4-15A1EBFFD8C3}">
            <x14:dataBar minLength="0" maxLength="100" negativeBarColorSameAsPositive="1" axisPosition="none">
              <x14:cfvo type="num">
                <xm:f>0</xm:f>
              </x14:cfvo>
              <x14:cfvo type="num">
                <xm:f>1</xm:f>
              </x14:cfvo>
            </x14:dataBar>
          </x14:cfRule>
          <xm:sqref>N19:N20</xm:sqref>
        </x14:conditionalFormatting>
        <x14:conditionalFormatting xmlns:xm="http://schemas.microsoft.com/office/excel/2006/main">
          <x14:cfRule type="dataBar" id="{CA5467CC-73AF-4E33-8416-77C2CF66FF2E}">
            <x14:dataBar minLength="0" maxLength="100" negativeBarColorSameAsPositive="1" axisPosition="none">
              <x14:cfvo type="num">
                <xm:f>0</xm:f>
              </x14:cfvo>
              <x14:cfvo type="num">
                <xm:f>1</xm:f>
              </x14:cfvo>
            </x14:dataBar>
          </x14:cfRule>
          <xm:sqref>O5</xm:sqref>
        </x14:conditionalFormatting>
        <x14:conditionalFormatting xmlns:xm="http://schemas.microsoft.com/office/excel/2006/main">
          <x14:cfRule type="dataBar" id="{F9CCB192-869C-4147-B68B-17124083B483}">
            <x14:dataBar minLength="0" maxLength="100" negativeBarColorSameAsPositive="1" axisPosition="none">
              <x14:cfvo type="num">
                <xm:f>0</xm:f>
              </x14:cfvo>
              <x14:cfvo type="num">
                <xm:f>1</xm:f>
              </x14:cfvo>
            </x14:dataBar>
          </x14:cfRule>
          <xm:sqref>O7</xm:sqref>
        </x14:conditionalFormatting>
        <x14:conditionalFormatting xmlns:xm="http://schemas.microsoft.com/office/excel/2006/main">
          <x14:cfRule type="dataBar" id="{041F6D38-4731-4495-904F-C911E1179026}">
            <x14:dataBar minLength="0" maxLength="100" negativeBarColorSameAsPositive="1" axisPosition="none">
              <x14:cfvo type="num">
                <xm:f>0</xm:f>
              </x14:cfvo>
              <x14:cfvo type="num">
                <xm:f>1</xm:f>
              </x14:cfvo>
            </x14:dataBar>
          </x14:cfRule>
          <xm:sqref>O9</xm:sqref>
        </x14:conditionalFormatting>
        <x14:conditionalFormatting xmlns:xm="http://schemas.microsoft.com/office/excel/2006/main">
          <x14:cfRule type="dataBar" id="{71F83A0B-7D54-4639-9C5C-A7976283E60E}">
            <x14:dataBar minLength="0" maxLength="100" negativeBarColorSameAsPositive="1" axisPosition="none">
              <x14:cfvo type="num">
                <xm:f>0</xm:f>
              </x14:cfvo>
              <x14:cfvo type="num">
                <xm:f>1</xm:f>
              </x14:cfvo>
            </x14:dataBar>
          </x14:cfRule>
          <xm:sqref>O11</xm:sqref>
        </x14:conditionalFormatting>
        <x14:conditionalFormatting xmlns:xm="http://schemas.microsoft.com/office/excel/2006/main">
          <x14:cfRule type="dataBar" id="{895CB58E-0E58-4417-A1D5-218CAC0F79B8}">
            <x14:dataBar minLength="0" maxLength="100" negativeBarColorSameAsPositive="1" axisPosition="none">
              <x14:cfvo type="num">
                <xm:f>0</xm:f>
              </x14:cfvo>
              <x14:cfvo type="num">
                <xm:f>1</xm:f>
              </x14:cfvo>
            </x14:dataBar>
          </x14:cfRule>
          <xm:sqref>O13</xm:sqref>
        </x14:conditionalFormatting>
        <x14:conditionalFormatting xmlns:xm="http://schemas.microsoft.com/office/excel/2006/main">
          <x14:cfRule type="dataBar" id="{028DB799-56BD-42F3-8060-558743D37AC6}">
            <x14:dataBar minLength="0" maxLength="100" negativeBarColorSameAsPositive="1" axisPosition="none">
              <x14:cfvo type="num">
                <xm:f>0</xm:f>
              </x14:cfvo>
              <x14:cfvo type="num">
                <xm:f>1</xm:f>
              </x14:cfvo>
            </x14:dataBar>
          </x14:cfRule>
          <xm:sqref>O15</xm:sqref>
        </x14:conditionalFormatting>
        <x14:conditionalFormatting xmlns:xm="http://schemas.microsoft.com/office/excel/2006/main">
          <x14:cfRule type="dataBar" id="{D476D6CC-CC1F-4553-9481-180B40D8A2F7}">
            <x14:dataBar minLength="0" maxLength="100" negativeBarColorSameAsPositive="1" axisPosition="none">
              <x14:cfvo type="num">
                <xm:f>0</xm:f>
              </x14:cfvo>
              <x14:cfvo type="num">
                <xm:f>1</xm:f>
              </x14:cfvo>
            </x14:dataBar>
          </x14:cfRule>
          <xm:sqref>O17</xm:sqref>
        </x14:conditionalFormatting>
        <x14:conditionalFormatting xmlns:xm="http://schemas.microsoft.com/office/excel/2006/main">
          <x14:cfRule type="dataBar" id="{FA445F7B-DE98-4AF4-8682-974BB37C6370}">
            <x14:dataBar minLength="0" maxLength="100" negativeBarColorSameAsPositive="1" axisPosition="none">
              <x14:cfvo type="num">
                <xm:f>0</xm:f>
              </x14:cfvo>
              <x14:cfvo type="num">
                <xm:f>1</xm:f>
              </x14:cfvo>
            </x14:dataBar>
          </x14:cfRule>
          <xm:sqref>O19:O20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NS26"/>
  <sheetViews>
    <sheetView showGridLines="0" topLeftCell="A2" zoomScale="110" zoomScaleNormal="110" zoomScaleSheetLayoutView="80" workbookViewId="0">
      <pane xSplit="4" ySplit="5" topLeftCell="E11" activePane="bottomRight" state="frozen"/>
      <selection pane="topRight"/>
      <selection pane="bottomLeft"/>
      <selection pane="bottomRight" activeCell="F14" sqref="F14"/>
    </sheetView>
  </sheetViews>
  <sheetFormatPr baseColWidth="10" defaultColWidth="10.33203125" defaultRowHeight="14"/>
  <cols>
    <col min="1" max="1" width="0.1640625" style="53" customWidth="1"/>
    <col min="2" max="2" width="12.6640625" style="59" hidden="1" customWidth="1"/>
    <col min="3" max="3" width="10.83203125" style="59" customWidth="1"/>
    <col min="4" max="4" width="40.1640625" style="53" customWidth="1"/>
    <col min="5" max="5" width="30.33203125" style="53" customWidth="1"/>
    <col min="6" max="6" width="56" style="58" customWidth="1"/>
    <col min="7" max="7" width="10" style="53" customWidth="1"/>
    <col min="8" max="8" width="10" style="66" customWidth="1"/>
    <col min="9" max="9" width="7.33203125" style="59" customWidth="1"/>
    <col min="10" max="10" width="16.6640625" style="59" customWidth="1"/>
    <col min="11" max="11" width="12.1640625" style="59" customWidth="1"/>
    <col min="12" max="12" width="14.33203125" style="59" customWidth="1"/>
    <col min="13" max="13" width="10.33203125" style="59" customWidth="1"/>
    <col min="14" max="14" width="0.5" style="59" customWidth="1"/>
    <col min="15" max="15" width="10" style="60" customWidth="1"/>
    <col min="16" max="16" width="0.5" style="59" customWidth="1"/>
    <col min="17" max="17" width="11.33203125" style="61" customWidth="1"/>
    <col min="18" max="18" width="4.83203125" style="67" hidden="1" customWidth="1"/>
    <col min="19" max="383" width="4.83203125" style="68" hidden="1" customWidth="1"/>
    <col min="384" max="16384" width="10.33203125" style="53"/>
  </cols>
  <sheetData>
    <row r="1" spans="2:383" ht="10" hidden="1" customHeight="1">
      <c r="B1" s="56"/>
      <c r="C1" s="56"/>
      <c r="D1" s="57"/>
      <c r="E1" s="57"/>
      <c r="G1" s="57"/>
      <c r="H1" s="56"/>
      <c r="I1" s="56"/>
      <c r="J1" s="56"/>
      <c r="K1" s="56"/>
      <c r="L1" s="56"/>
    </row>
    <row r="2" spans="2:383" s="62" customFormat="1" ht="22" customHeight="1">
      <c r="B2" s="69"/>
      <c r="C2" s="70" t="s">
        <v>44</v>
      </c>
      <c r="D2" s="71"/>
      <c r="E2" s="71"/>
      <c r="F2" s="72"/>
      <c r="G2" s="71"/>
      <c r="H2" s="73">
        <f>COUNTIF($O$7:$O$26,"已完成")</f>
        <v>0</v>
      </c>
      <c r="I2" s="73"/>
      <c r="J2" s="73">
        <f>COUNTIF($O$7:$O$26,"未启动")</f>
        <v>0</v>
      </c>
      <c r="K2" s="73">
        <f>COUNTIF($O$7:$O$26,"已完成")</f>
        <v>0</v>
      </c>
      <c r="L2" s="73">
        <f>COUNTIF($O$7:$O$26,"进行中")</f>
        <v>0</v>
      </c>
      <c r="M2" s="73">
        <f>COUNTIF($O$7:$O$26,"未启动")</f>
        <v>0</v>
      </c>
      <c r="N2" s="74"/>
      <c r="O2" s="73">
        <f>COUNTIF($O$7:$O$26,"延期")</f>
        <v>0</v>
      </c>
      <c r="P2" s="74"/>
      <c r="Q2" s="73">
        <f>COUNTIF($O$7:$O$26,"暂停")</f>
        <v>0</v>
      </c>
      <c r="R2" s="75"/>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c r="BV2" s="76"/>
      <c r="BW2" s="76"/>
      <c r="BX2" s="76"/>
      <c r="BY2" s="76"/>
      <c r="BZ2" s="76"/>
      <c r="CA2" s="76"/>
      <c r="CB2" s="76"/>
      <c r="CC2" s="76"/>
      <c r="CD2" s="76"/>
      <c r="CE2" s="76"/>
      <c r="CF2" s="76"/>
      <c r="CG2" s="76"/>
      <c r="CH2" s="76"/>
      <c r="CI2" s="76"/>
      <c r="CJ2" s="76"/>
      <c r="CK2" s="76"/>
      <c r="CL2" s="76"/>
      <c r="CM2" s="76"/>
      <c r="CN2" s="76"/>
      <c r="CO2" s="76"/>
      <c r="CP2" s="76"/>
      <c r="CQ2" s="76"/>
      <c r="CR2" s="76"/>
      <c r="CS2" s="76"/>
      <c r="CT2" s="76"/>
      <c r="CU2" s="76"/>
      <c r="CV2" s="76"/>
      <c r="CW2" s="76"/>
      <c r="CX2" s="76"/>
      <c r="CY2" s="76"/>
      <c r="CZ2" s="76"/>
      <c r="DA2" s="76"/>
      <c r="DB2" s="76"/>
      <c r="DC2" s="76"/>
      <c r="DD2" s="76"/>
      <c r="DE2" s="76"/>
      <c r="DF2" s="76"/>
      <c r="DG2" s="76"/>
      <c r="DH2" s="76"/>
      <c r="DI2" s="76"/>
      <c r="DJ2" s="76"/>
      <c r="DK2" s="76"/>
      <c r="DL2" s="76"/>
      <c r="DM2" s="76"/>
      <c r="DN2" s="76"/>
      <c r="DO2" s="76"/>
      <c r="DP2" s="76"/>
      <c r="DQ2" s="76"/>
      <c r="DR2" s="76"/>
      <c r="DS2" s="76"/>
      <c r="DT2" s="76"/>
      <c r="DU2" s="76"/>
      <c r="DV2" s="76"/>
      <c r="DW2" s="76"/>
      <c r="DX2" s="76"/>
      <c r="DY2" s="76"/>
      <c r="DZ2" s="76"/>
      <c r="EA2" s="76"/>
      <c r="EB2" s="76"/>
      <c r="EC2" s="76"/>
      <c r="ED2" s="76"/>
      <c r="EE2" s="76"/>
      <c r="EF2" s="76"/>
      <c r="EG2" s="76"/>
      <c r="EH2" s="76"/>
      <c r="EI2" s="76"/>
      <c r="EJ2" s="76"/>
      <c r="EK2" s="76"/>
      <c r="EL2" s="76"/>
      <c r="EM2" s="76"/>
      <c r="EN2" s="76"/>
      <c r="EO2" s="76"/>
      <c r="EP2" s="76"/>
      <c r="EQ2" s="76"/>
      <c r="ER2" s="76"/>
      <c r="ES2" s="76"/>
      <c r="ET2" s="76"/>
      <c r="EU2" s="76"/>
      <c r="EV2" s="76"/>
      <c r="EW2" s="76"/>
      <c r="EX2" s="76"/>
      <c r="EY2" s="76"/>
      <c r="EZ2" s="76"/>
      <c r="FA2" s="76"/>
      <c r="FB2" s="76"/>
      <c r="FC2" s="76"/>
      <c r="FD2" s="76"/>
      <c r="FE2" s="76"/>
      <c r="FF2" s="76"/>
      <c r="FG2" s="76"/>
      <c r="FH2" s="76"/>
      <c r="FI2" s="76"/>
      <c r="FJ2" s="76"/>
      <c r="FK2" s="76"/>
      <c r="FL2" s="76"/>
      <c r="FM2" s="76"/>
      <c r="FN2" s="76"/>
      <c r="FO2" s="76"/>
      <c r="FP2" s="76"/>
      <c r="FQ2" s="76"/>
      <c r="FR2" s="76"/>
      <c r="FS2" s="76"/>
      <c r="FT2" s="76"/>
      <c r="FU2" s="76"/>
      <c r="FV2" s="76"/>
      <c r="FW2" s="76"/>
      <c r="FX2" s="76"/>
      <c r="FY2" s="76"/>
      <c r="FZ2" s="76"/>
      <c r="GA2" s="76"/>
      <c r="GB2" s="76"/>
      <c r="GC2" s="76"/>
      <c r="GD2" s="76"/>
      <c r="GE2" s="76"/>
      <c r="GF2" s="76"/>
      <c r="GG2" s="76"/>
      <c r="GH2" s="76"/>
      <c r="GI2" s="76"/>
      <c r="GJ2" s="76"/>
      <c r="GK2" s="76"/>
      <c r="GL2" s="76"/>
      <c r="GM2" s="76"/>
      <c r="GN2" s="76"/>
      <c r="GO2" s="76"/>
      <c r="GP2" s="76"/>
      <c r="GQ2" s="76"/>
      <c r="GR2" s="76"/>
      <c r="GS2" s="76"/>
      <c r="GT2" s="76"/>
      <c r="GU2" s="76"/>
      <c r="GV2" s="76"/>
      <c r="GW2" s="76"/>
      <c r="GX2" s="76"/>
      <c r="GY2" s="76"/>
      <c r="GZ2" s="76"/>
      <c r="HA2" s="76"/>
      <c r="HB2" s="76"/>
      <c r="HC2" s="76"/>
      <c r="HD2" s="76"/>
      <c r="HE2" s="76"/>
      <c r="HF2" s="76"/>
      <c r="HG2" s="76"/>
      <c r="HH2" s="76"/>
      <c r="HI2" s="76"/>
      <c r="HJ2" s="76"/>
      <c r="HK2" s="76"/>
      <c r="HL2" s="76"/>
      <c r="HM2" s="76"/>
      <c r="HN2" s="76"/>
      <c r="HO2" s="76"/>
      <c r="HP2" s="76"/>
      <c r="HQ2" s="76"/>
      <c r="HR2" s="76"/>
      <c r="HS2" s="76"/>
      <c r="HT2" s="76"/>
      <c r="HU2" s="76"/>
      <c r="HV2" s="76"/>
      <c r="HW2" s="76"/>
      <c r="HX2" s="76"/>
      <c r="HY2" s="76"/>
      <c r="HZ2" s="76"/>
      <c r="IA2" s="76"/>
      <c r="IB2" s="76"/>
      <c r="IC2" s="76"/>
      <c r="ID2" s="76"/>
      <c r="IE2" s="76"/>
      <c r="IF2" s="76"/>
      <c r="IG2" s="76"/>
      <c r="IH2" s="76"/>
      <c r="II2" s="76"/>
      <c r="IJ2" s="76"/>
      <c r="IK2" s="76"/>
      <c r="IL2" s="76"/>
      <c r="IM2" s="76"/>
      <c r="IN2" s="76"/>
      <c r="IO2" s="76"/>
      <c r="IP2" s="76"/>
      <c r="IQ2" s="76"/>
      <c r="IR2" s="76"/>
      <c r="IS2" s="76"/>
      <c r="IT2" s="76"/>
      <c r="IU2" s="76"/>
      <c r="IV2" s="76"/>
      <c r="IW2" s="76"/>
      <c r="IX2" s="76"/>
      <c r="IY2" s="76"/>
      <c r="IZ2" s="76"/>
      <c r="JA2" s="76"/>
      <c r="JB2" s="76"/>
      <c r="JC2" s="76"/>
      <c r="JD2" s="76"/>
      <c r="JE2" s="76"/>
      <c r="JF2" s="76"/>
      <c r="JG2" s="76"/>
      <c r="JH2" s="76"/>
      <c r="JI2" s="76"/>
      <c r="JJ2" s="76"/>
      <c r="JK2" s="76"/>
      <c r="JL2" s="76"/>
      <c r="JM2" s="76"/>
      <c r="JN2" s="76"/>
      <c r="JO2" s="76"/>
      <c r="JP2" s="76"/>
      <c r="JQ2" s="76"/>
      <c r="JR2" s="76"/>
      <c r="JS2" s="76"/>
      <c r="JT2" s="76"/>
      <c r="JU2" s="76"/>
      <c r="JV2" s="76"/>
      <c r="JW2" s="76"/>
      <c r="JX2" s="76"/>
      <c r="JY2" s="76"/>
      <c r="JZ2" s="76"/>
      <c r="KA2" s="76"/>
      <c r="KB2" s="76"/>
      <c r="KC2" s="76"/>
      <c r="KD2" s="76"/>
      <c r="KE2" s="76"/>
      <c r="KF2" s="76"/>
      <c r="KG2" s="76"/>
      <c r="KH2" s="76"/>
      <c r="KI2" s="76"/>
      <c r="KJ2" s="76"/>
      <c r="KK2" s="76"/>
      <c r="KL2" s="76"/>
      <c r="KM2" s="76"/>
      <c r="KN2" s="76"/>
      <c r="KO2" s="76"/>
      <c r="KP2" s="76"/>
      <c r="KQ2" s="76"/>
      <c r="KR2" s="76"/>
      <c r="KS2" s="76"/>
      <c r="KT2" s="76"/>
      <c r="KU2" s="76"/>
      <c r="KV2" s="76"/>
      <c r="KW2" s="76"/>
      <c r="KX2" s="76"/>
      <c r="KY2" s="76"/>
      <c r="KZ2" s="76"/>
      <c r="LA2" s="76"/>
      <c r="LB2" s="76"/>
      <c r="LC2" s="76"/>
      <c r="LD2" s="76"/>
      <c r="LE2" s="76"/>
      <c r="LF2" s="76"/>
      <c r="LG2" s="76"/>
      <c r="LH2" s="76"/>
      <c r="LI2" s="76"/>
      <c r="LJ2" s="76"/>
      <c r="LK2" s="76"/>
      <c r="LL2" s="76"/>
      <c r="LM2" s="76"/>
      <c r="LN2" s="76"/>
      <c r="LO2" s="76"/>
      <c r="LP2" s="76"/>
      <c r="LQ2" s="76"/>
      <c r="LR2" s="76"/>
      <c r="LS2" s="76"/>
      <c r="LT2" s="76"/>
      <c r="LU2" s="76"/>
      <c r="LV2" s="76"/>
      <c r="LW2" s="76"/>
      <c r="LX2" s="76"/>
      <c r="LY2" s="76"/>
      <c r="LZ2" s="76"/>
      <c r="MA2" s="76"/>
      <c r="MB2" s="76"/>
      <c r="MC2" s="76"/>
      <c r="MD2" s="76"/>
      <c r="ME2" s="76"/>
      <c r="MF2" s="76"/>
      <c r="MG2" s="76"/>
      <c r="MH2" s="76"/>
      <c r="MI2" s="76"/>
      <c r="MJ2" s="76"/>
      <c r="MK2" s="76"/>
      <c r="ML2" s="76"/>
      <c r="MM2" s="76"/>
      <c r="MN2" s="76"/>
      <c r="MO2" s="76"/>
      <c r="MP2" s="76"/>
      <c r="MQ2" s="76"/>
      <c r="MR2" s="76"/>
      <c r="MS2" s="76"/>
      <c r="MT2" s="76"/>
      <c r="MU2" s="76"/>
      <c r="MV2" s="76"/>
      <c r="MW2" s="76"/>
      <c r="MX2" s="76"/>
      <c r="MY2" s="76"/>
      <c r="MZ2" s="76"/>
      <c r="NA2" s="76"/>
      <c r="NB2" s="76"/>
      <c r="NC2" s="76"/>
      <c r="ND2" s="76"/>
      <c r="NE2" s="76"/>
      <c r="NF2" s="76"/>
      <c r="NG2" s="76"/>
      <c r="NH2" s="76"/>
      <c r="NI2" s="76"/>
      <c r="NJ2" s="76"/>
      <c r="NK2" s="76"/>
      <c r="NL2" s="76"/>
      <c r="NM2" s="76"/>
      <c r="NN2" s="76"/>
      <c r="NO2" s="76"/>
      <c r="NP2" s="76"/>
      <c r="NQ2" s="76"/>
      <c r="NR2" s="76"/>
      <c r="NS2" s="76"/>
    </row>
    <row r="3" spans="2:383" s="63" customFormat="1" ht="16" customHeight="1">
      <c r="B3" s="77"/>
      <c r="C3" s="78"/>
      <c r="D3" s="78"/>
      <c r="E3" s="78"/>
      <c r="F3" s="79"/>
      <c r="G3" s="78"/>
      <c r="H3" s="80" t="s">
        <v>45</v>
      </c>
      <c r="I3" s="80"/>
      <c r="J3" s="80" t="s">
        <v>46</v>
      </c>
      <c r="K3" s="80" t="s">
        <v>45</v>
      </c>
      <c r="L3" s="80" t="s">
        <v>47</v>
      </c>
      <c r="M3" s="80" t="s">
        <v>46</v>
      </c>
      <c r="N3" s="81"/>
      <c r="O3" s="80" t="s">
        <v>48</v>
      </c>
      <c r="P3" s="82"/>
      <c r="Q3" s="80" t="s">
        <v>49</v>
      </c>
      <c r="R3" s="83" t="str">
        <f t="shared" ref="R3:CC3" si="0">IF(OR(DAY(R5)=1,DAY(R5)=10,DAY(R5)=20),YEAR(R5),"")</f>
        <v/>
      </c>
      <c r="S3" s="84" t="str">
        <f t="shared" si="0"/>
        <v/>
      </c>
      <c r="T3" s="84" t="str">
        <f t="shared" si="0"/>
        <v/>
      </c>
      <c r="U3" s="84" t="str">
        <f t="shared" si="0"/>
        <v/>
      </c>
      <c r="V3" s="84" t="str">
        <f t="shared" si="0"/>
        <v/>
      </c>
      <c r="W3" s="84">
        <f t="shared" si="0"/>
        <v>2025</v>
      </c>
      <c r="X3" s="84" t="str">
        <f t="shared" si="0"/>
        <v/>
      </c>
      <c r="Y3" s="84" t="str">
        <f t="shared" si="0"/>
        <v/>
      </c>
      <c r="Z3" s="84" t="str">
        <f t="shared" si="0"/>
        <v/>
      </c>
      <c r="AA3" s="83" t="str">
        <f t="shared" si="0"/>
        <v/>
      </c>
      <c r="AB3" s="83" t="str">
        <f t="shared" si="0"/>
        <v/>
      </c>
      <c r="AC3" s="83" t="str">
        <f t="shared" si="0"/>
        <v/>
      </c>
      <c r="AD3" s="83" t="str">
        <f t="shared" si="0"/>
        <v/>
      </c>
      <c r="AE3" s="83" t="str">
        <f t="shared" si="0"/>
        <v/>
      </c>
      <c r="AF3" s="83">
        <f t="shared" si="0"/>
        <v>2025</v>
      </c>
      <c r="AG3" s="83" t="str">
        <f t="shared" si="0"/>
        <v/>
      </c>
      <c r="AH3" s="83" t="str">
        <f t="shared" si="0"/>
        <v/>
      </c>
      <c r="AI3" s="83" t="str">
        <f t="shared" si="0"/>
        <v/>
      </c>
      <c r="AJ3" s="83" t="str">
        <f t="shared" si="0"/>
        <v/>
      </c>
      <c r="AK3" s="83" t="str">
        <f t="shared" si="0"/>
        <v/>
      </c>
      <c r="AL3" s="83" t="str">
        <f t="shared" si="0"/>
        <v/>
      </c>
      <c r="AM3" s="83" t="str">
        <f t="shared" si="0"/>
        <v/>
      </c>
      <c r="AN3" s="83" t="str">
        <f t="shared" si="0"/>
        <v/>
      </c>
      <c r="AO3" s="83" t="str">
        <f t="shared" si="0"/>
        <v/>
      </c>
      <c r="AP3" s="83">
        <f t="shared" si="0"/>
        <v>2025</v>
      </c>
      <c r="AQ3" s="83" t="str">
        <f t="shared" si="0"/>
        <v/>
      </c>
      <c r="AR3" s="83" t="str">
        <f t="shared" si="0"/>
        <v/>
      </c>
      <c r="AS3" s="83" t="str">
        <f t="shared" si="0"/>
        <v/>
      </c>
      <c r="AT3" s="83" t="str">
        <f t="shared" si="0"/>
        <v/>
      </c>
      <c r="AU3" s="83" t="str">
        <f t="shared" si="0"/>
        <v/>
      </c>
      <c r="AV3" s="83" t="str">
        <f t="shared" si="0"/>
        <v/>
      </c>
      <c r="AW3" s="83" t="str">
        <f t="shared" si="0"/>
        <v/>
      </c>
      <c r="AX3" s="83" t="str">
        <f t="shared" si="0"/>
        <v/>
      </c>
      <c r="AY3" s="83" t="str">
        <f t="shared" si="0"/>
        <v/>
      </c>
      <c r="AZ3" s="83" t="str">
        <f t="shared" si="0"/>
        <v/>
      </c>
      <c r="BA3" s="83">
        <f t="shared" si="0"/>
        <v>2025</v>
      </c>
      <c r="BB3" s="83" t="str">
        <f t="shared" si="0"/>
        <v/>
      </c>
      <c r="BC3" s="83" t="str">
        <f t="shared" si="0"/>
        <v/>
      </c>
      <c r="BD3" s="83" t="str">
        <f t="shared" si="0"/>
        <v/>
      </c>
      <c r="BE3" s="83" t="str">
        <f t="shared" si="0"/>
        <v/>
      </c>
      <c r="BF3" s="83" t="str">
        <f t="shared" si="0"/>
        <v/>
      </c>
      <c r="BG3" s="83" t="str">
        <f t="shared" si="0"/>
        <v/>
      </c>
      <c r="BH3" s="83" t="str">
        <f t="shared" si="0"/>
        <v/>
      </c>
      <c r="BI3" s="83" t="str">
        <f t="shared" si="0"/>
        <v/>
      </c>
      <c r="BJ3" s="83">
        <f t="shared" si="0"/>
        <v>2025</v>
      </c>
      <c r="BK3" s="83" t="str">
        <f t="shared" si="0"/>
        <v/>
      </c>
      <c r="BL3" s="83" t="str">
        <f t="shared" si="0"/>
        <v/>
      </c>
      <c r="BM3" s="83" t="str">
        <f t="shared" si="0"/>
        <v/>
      </c>
      <c r="BN3" s="83" t="str">
        <f t="shared" si="0"/>
        <v/>
      </c>
      <c r="BO3" s="83" t="str">
        <f t="shared" si="0"/>
        <v/>
      </c>
      <c r="BP3" s="83" t="str">
        <f t="shared" si="0"/>
        <v/>
      </c>
      <c r="BQ3" s="83" t="str">
        <f t="shared" si="0"/>
        <v/>
      </c>
      <c r="BR3" s="83" t="str">
        <f t="shared" si="0"/>
        <v/>
      </c>
      <c r="BS3" s="83" t="str">
        <f t="shared" si="0"/>
        <v/>
      </c>
      <c r="BT3" s="83">
        <f t="shared" si="0"/>
        <v>2025</v>
      </c>
      <c r="BU3" s="83" t="str">
        <f t="shared" si="0"/>
        <v/>
      </c>
      <c r="BV3" s="83" t="str">
        <f t="shared" si="0"/>
        <v/>
      </c>
      <c r="BW3" s="83" t="str">
        <f t="shared" si="0"/>
        <v/>
      </c>
      <c r="BX3" s="83" t="str">
        <f t="shared" si="0"/>
        <v/>
      </c>
      <c r="BY3" s="83" t="str">
        <f t="shared" si="0"/>
        <v/>
      </c>
      <c r="BZ3" s="83" t="str">
        <f t="shared" si="0"/>
        <v/>
      </c>
      <c r="CA3" s="83" t="str">
        <f t="shared" si="0"/>
        <v/>
      </c>
      <c r="CB3" s="83" t="str">
        <f t="shared" si="0"/>
        <v/>
      </c>
      <c r="CC3" s="83" t="str">
        <f t="shared" si="0"/>
        <v/>
      </c>
      <c r="CD3" s="83" t="str">
        <f t="shared" ref="CD3:EO3" si="1">IF(OR(DAY(CD5)=1,DAY(CD5)=10,DAY(CD5)=20),YEAR(CD5),"")</f>
        <v/>
      </c>
      <c r="CE3" s="83" t="str">
        <f t="shared" si="1"/>
        <v/>
      </c>
      <c r="CF3" s="83">
        <f t="shared" si="1"/>
        <v>2025</v>
      </c>
      <c r="CG3" s="83" t="str">
        <f t="shared" si="1"/>
        <v/>
      </c>
      <c r="CH3" s="83" t="str">
        <f t="shared" si="1"/>
        <v/>
      </c>
      <c r="CI3" s="83" t="str">
        <f t="shared" si="1"/>
        <v/>
      </c>
      <c r="CJ3" s="83" t="str">
        <f t="shared" si="1"/>
        <v/>
      </c>
      <c r="CK3" s="83" t="str">
        <f t="shared" si="1"/>
        <v/>
      </c>
      <c r="CL3" s="83" t="str">
        <f t="shared" si="1"/>
        <v/>
      </c>
      <c r="CM3" s="83" t="str">
        <f t="shared" si="1"/>
        <v/>
      </c>
      <c r="CN3" s="83" t="str">
        <f t="shared" si="1"/>
        <v/>
      </c>
      <c r="CO3" s="83">
        <f t="shared" si="1"/>
        <v>2025</v>
      </c>
      <c r="CP3" s="83" t="str">
        <f t="shared" si="1"/>
        <v/>
      </c>
      <c r="CQ3" s="83" t="str">
        <f t="shared" si="1"/>
        <v/>
      </c>
      <c r="CR3" s="83" t="str">
        <f t="shared" si="1"/>
        <v/>
      </c>
      <c r="CS3" s="83" t="str">
        <f t="shared" si="1"/>
        <v/>
      </c>
      <c r="CT3" s="83" t="str">
        <f t="shared" si="1"/>
        <v/>
      </c>
      <c r="CU3" s="83" t="str">
        <f t="shared" si="1"/>
        <v/>
      </c>
      <c r="CV3" s="83" t="str">
        <f t="shared" si="1"/>
        <v/>
      </c>
      <c r="CW3" s="83" t="str">
        <f t="shared" si="1"/>
        <v/>
      </c>
      <c r="CX3" s="83" t="str">
        <f t="shared" si="1"/>
        <v/>
      </c>
      <c r="CY3" s="83">
        <f t="shared" si="1"/>
        <v>2025</v>
      </c>
      <c r="CZ3" s="83" t="str">
        <f t="shared" si="1"/>
        <v/>
      </c>
      <c r="DA3" s="83" t="str">
        <f t="shared" si="1"/>
        <v/>
      </c>
      <c r="DB3" s="83" t="str">
        <f t="shared" si="1"/>
        <v/>
      </c>
      <c r="DC3" s="83" t="str">
        <f t="shared" si="1"/>
        <v/>
      </c>
      <c r="DD3" s="83" t="str">
        <f t="shared" si="1"/>
        <v/>
      </c>
      <c r="DE3" s="83" t="str">
        <f t="shared" si="1"/>
        <v/>
      </c>
      <c r="DF3" s="83" t="str">
        <f t="shared" si="1"/>
        <v/>
      </c>
      <c r="DG3" s="83" t="str">
        <f t="shared" si="1"/>
        <v/>
      </c>
      <c r="DH3" s="83" t="str">
        <f t="shared" si="1"/>
        <v/>
      </c>
      <c r="DI3" s="83" t="str">
        <f t="shared" si="1"/>
        <v/>
      </c>
      <c r="DJ3" s="83">
        <f t="shared" si="1"/>
        <v>2025</v>
      </c>
      <c r="DK3" s="83" t="str">
        <f t="shared" si="1"/>
        <v/>
      </c>
      <c r="DL3" s="83" t="str">
        <f t="shared" si="1"/>
        <v/>
      </c>
      <c r="DM3" s="83" t="str">
        <f t="shared" si="1"/>
        <v/>
      </c>
      <c r="DN3" s="83" t="str">
        <f t="shared" si="1"/>
        <v/>
      </c>
      <c r="DO3" s="83" t="str">
        <f t="shared" si="1"/>
        <v/>
      </c>
      <c r="DP3" s="83" t="str">
        <f t="shared" si="1"/>
        <v/>
      </c>
      <c r="DQ3" s="83" t="str">
        <f t="shared" si="1"/>
        <v/>
      </c>
      <c r="DR3" s="83" t="str">
        <f t="shared" si="1"/>
        <v/>
      </c>
      <c r="DS3" s="83">
        <f t="shared" si="1"/>
        <v>2025</v>
      </c>
      <c r="DT3" s="83" t="str">
        <f t="shared" si="1"/>
        <v/>
      </c>
      <c r="DU3" s="83" t="str">
        <f t="shared" si="1"/>
        <v/>
      </c>
      <c r="DV3" s="83" t="str">
        <f t="shared" si="1"/>
        <v/>
      </c>
      <c r="DW3" s="83" t="str">
        <f t="shared" si="1"/>
        <v/>
      </c>
      <c r="DX3" s="83" t="str">
        <f t="shared" si="1"/>
        <v/>
      </c>
      <c r="DY3" s="83" t="str">
        <f t="shared" si="1"/>
        <v/>
      </c>
      <c r="DZ3" s="83" t="str">
        <f t="shared" si="1"/>
        <v/>
      </c>
      <c r="EA3" s="83" t="str">
        <f t="shared" si="1"/>
        <v/>
      </c>
      <c r="EB3" s="83" t="str">
        <f t="shared" si="1"/>
        <v/>
      </c>
      <c r="EC3" s="83">
        <f t="shared" si="1"/>
        <v>2025</v>
      </c>
      <c r="ED3" s="83" t="str">
        <f t="shared" si="1"/>
        <v/>
      </c>
      <c r="EE3" s="83" t="str">
        <f t="shared" si="1"/>
        <v/>
      </c>
      <c r="EF3" s="83" t="str">
        <f t="shared" si="1"/>
        <v/>
      </c>
      <c r="EG3" s="83" t="str">
        <f t="shared" si="1"/>
        <v/>
      </c>
      <c r="EH3" s="83" t="str">
        <f t="shared" si="1"/>
        <v/>
      </c>
      <c r="EI3" s="83" t="str">
        <f t="shared" si="1"/>
        <v/>
      </c>
      <c r="EJ3" s="83" t="str">
        <f t="shared" si="1"/>
        <v/>
      </c>
      <c r="EK3" s="83" t="str">
        <f t="shared" si="1"/>
        <v/>
      </c>
      <c r="EL3" s="83" t="str">
        <f t="shared" si="1"/>
        <v/>
      </c>
      <c r="EM3" s="83" t="str">
        <f t="shared" si="1"/>
        <v/>
      </c>
      <c r="EN3" s="83" t="str">
        <f t="shared" si="1"/>
        <v/>
      </c>
      <c r="EO3" s="83">
        <f t="shared" si="1"/>
        <v>2026</v>
      </c>
      <c r="EP3" s="83" t="str">
        <f t="shared" ref="EP3:HA3" si="2">IF(OR(DAY(EP5)=1,DAY(EP5)=10,DAY(EP5)=20),YEAR(EP5),"")</f>
        <v/>
      </c>
      <c r="EQ3" s="83" t="str">
        <f t="shared" si="2"/>
        <v/>
      </c>
      <c r="ER3" s="83" t="str">
        <f t="shared" si="2"/>
        <v/>
      </c>
      <c r="ES3" s="83" t="str">
        <f t="shared" si="2"/>
        <v/>
      </c>
      <c r="ET3" s="83" t="str">
        <f t="shared" si="2"/>
        <v/>
      </c>
      <c r="EU3" s="83" t="str">
        <f t="shared" si="2"/>
        <v/>
      </c>
      <c r="EV3" s="83" t="str">
        <f t="shared" si="2"/>
        <v/>
      </c>
      <c r="EW3" s="83" t="str">
        <f t="shared" si="2"/>
        <v/>
      </c>
      <c r="EX3" s="83">
        <f t="shared" si="2"/>
        <v>2026</v>
      </c>
      <c r="EY3" s="83" t="str">
        <f t="shared" si="2"/>
        <v/>
      </c>
      <c r="EZ3" s="83" t="str">
        <f t="shared" si="2"/>
        <v/>
      </c>
      <c r="FA3" s="83" t="str">
        <f t="shared" si="2"/>
        <v/>
      </c>
      <c r="FB3" s="83" t="str">
        <f t="shared" si="2"/>
        <v/>
      </c>
      <c r="FC3" s="83" t="str">
        <f t="shared" si="2"/>
        <v/>
      </c>
      <c r="FD3" s="83" t="str">
        <f t="shared" si="2"/>
        <v/>
      </c>
      <c r="FE3" s="83" t="str">
        <f t="shared" si="2"/>
        <v/>
      </c>
      <c r="FF3" s="83" t="str">
        <f t="shared" si="2"/>
        <v/>
      </c>
      <c r="FG3" s="83" t="str">
        <f t="shared" si="2"/>
        <v/>
      </c>
      <c r="FH3" s="83">
        <f t="shared" si="2"/>
        <v>2026</v>
      </c>
      <c r="FI3" s="83" t="str">
        <f t="shared" si="2"/>
        <v/>
      </c>
      <c r="FJ3" s="83" t="str">
        <f t="shared" si="2"/>
        <v/>
      </c>
      <c r="FK3" s="83" t="str">
        <f t="shared" si="2"/>
        <v/>
      </c>
      <c r="FL3" s="83" t="str">
        <f t="shared" si="2"/>
        <v/>
      </c>
      <c r="FM3" s="83" t="str">
        <f t="shared" si="2"/>
        <v/>
      </c>
      <c r="FN3" s="83" t="str">
        <f t="shared" si="2"/>
        <v/>
      </c>
      <c r="FO3" s="83" t="str">
        <f t="shared" si="2"/>
        <v/>
      </c>
      <c r="FP3" s="83" t="str">
        <f t="shared" si="2"/>
        <v/>
      </c>
      <c r="FQ3" s="83" t="str">
        <f t="shared" si="2"/>
        <v/>
      </c>
      <c r="FR3" s="83" t="str">
        <f t="shared" si="2"/>
        <v/>
      </c>
      <c r="FS3" s="83" t="str">
        <f t="shared" si="2"/>
        <v/>
      </c>
      <c r="FT3" s="83">
        <f t="shared" si="2"/>
        <v>2026</v>
      </c>
      <c r="FU3" s="83" t="str">
        <f t="shared" si="2"/>
        <v/>
      </c>
      <c r="FV3" s="83" t="str">
        <f t="shared" si="2"/>
        <v/>
      </c>
      <c r="FW3" s="83" t="str">
        <f t="shared" si="2"/>
        <v/>
      </c>
      <c r="FX3" s="83" t="str">
        <f t="shared" si="2"/>
        <v/>
      </c>
      <c r="FY3" s="83" t="str">
        <f t="shared" si="2"/>
        <v/>
      </c>
      <c r="FZ3" s="83" t="str">
        <f t="shared" si="2"/>
        <v/>
      </c>
      <c r="GA3" s="83" t="str">
        <f t="shared" si="2"/>
        <v/>
      </c>
      <c r="GB3" s="83" t="str">
        <f t="shared" si="2"/>
        <v/>
      </c>
      <c r="GC3" s="83">
        <f t="shared" si="2"/>
        <v>2026</v>
      </c>
      <c r="GD3" s="83" t="str">
        <f t="shared" si="2"/>
        <v/>
      </c>
      <c r="GE3" s="83" t="str">
        <f t="shared" si="2"/>
        <v/>
      </c>
      <c r="GF3" s="83" t="str">
        <f t="shared" si="2"/>
        <v/>
      </c>
      <c r="GG3" s="83" t="str">
        <f t="shared" si="2"/>
        <v/>
      </c>
      <c r="GH3" s="83" t="str">
        <f t="shared" si="2"/>
        <v/>
      </c>
      <c r="GI3" s="83" t="str">
        <f t="shared" si="2"/>
        <v/>
      </c>
      <c r="GJ3" s="83" t="str">
        <f t="shared" si="2"/>
        <v/>
      </c>
      <c r="GK3" s="83" t="str">
        <f t="shared" si="2"/>
        <v/>
      </c>
      <c r="GL3" s="83" t="str">
        <f t="shared" si="2"/>
        <v/>
      </c>
      <c r="GM3" s="83">
        <f t="shared" si="2"/>
        <v>2026</v>
      </c>
      <c r="GN3" s="83" t="str">
        <f t="shared" si="2"/>
        <v/>
      </c>
      <c r="GO3" s="83" t="str">
        <f t="shared" si="2"/>
        <v/>
      </c>
      <c r="GP3" s="83" t="str">
        <f t="shared" si="2"/>
        <v/>
      </c>
      <c r="GQ3" s="83" t="str">
        <f t="shared" si="2"/>
        <v/>
      </c>
      <c r="GR3" s="83" t="str">
        <f t="shared" si="2"/>
        <v/>
      </c>
      <c r="GS3" s="83" t="str">
        <f t="shared" si="2"/>
        <v/>
      </c>
      <c r="GT3" s="83" t="str">
        <f t="shared" si="2"/>
        <v/>
      </c>
      <c r="GU3" s="83" t="str">
        <f t="shared" si="2"/>
        <v/>
      </c>
      <c r="GV3" s="83">
        <f t="shared" si="2"/>
        <v>2026</v>
      </c>
      <c r="GW3" s="83" t="str">
        <f t="shared" si="2"/>
        <v/>
      </c>
      <c r="GX3" s="83" t="str">
        <f t="shared" si="2"/>
        <v/>
      </c>
      <c r="GY3" s="83" t="str">
        <f t="shared" si="2"/>
        <v/>
      </c>
      <c r="GZ3" s="83" t="str">
        <f t="shared" si="2"/>
        <v/>
      </c>
      <c r="HA3" s="83" t="str">
        <f t="shared" si="2"/>
        <v/>
      </c>
      <c r="HB3" s="83" t="str">
        <f t="shared" ref="HB3:JM3" si="3">IF(OR(DAY(HB5)=1,DAY(HB5)=10,DAY(HB5)=20),YEAR(HB5),"")</f>
        <v/>
      </c>
      <c r="HC3" s="83" t="str">
        <f t="shared" si="3"/>
        <v/>
      </c>
      <c r="HD3" s="83" t="str">
        <f t="shared" si="3"/>
        <v/>
      </c>
      <c r="HE3" s="83">
        <f t="shared" si="3"/>
        <v>2026</v>
      </c>
      <c r="HF3" s="83" t="str">
        <f t="shared" si="3"/>
        <v/>
      </c>
      <c r="HG3" s="83" t="str">
        <f t="shared" si="3"/>
        <v/>
      </c>
      <c r="HH3" s="83" t="str">
        <f t="shared" si="3"/>
        <v/>
      </c>
      <c r="HI3" s="83" t="str">
        <f t="shared" si="3"/>
        <v/>
      </c>
      <c r="HJ3" s="83" t="str">
        <f t="shared" si="3"/>
        <v/>
      </c>
      <c r="HK3" s="83" t="str">
        <f t="shared" si="3"/>
        <v/>
      </c>
      <c r="HL3" s="83" t="str">
        <f t="shared" si="3"/>
        <v/>
      </c>
      <c r="HM3" s="83" t="str">
        <f t="shared" si="3"/>
        <v/>
      </c>
      <c r="HN3" s="83" t="str">
        <f t="shared" si="3"/>
        <v/>
      </c>
      <c r="HO3" s="83">
        <f t="shared" si="3"/>
        <v>2026</v>
      </c>
      <c r="HP3" s="83" t="str">
        <f t="shared" si="3"/>
        <v/>
      </c>
      <c r="HQ3" s="83" t="str">
        <f t="shared" si="3"/>
        <v/>
      </c>
      <c r="HR3" s="83" t="str">
        <f t="shared" si="3"/>
        <v/>
      </c>
      <c r="HS3" s="83" t="str">
        <f t="shared" si="3"/>
        <v/>
      </c>
      <c r="HT3" s="83" t="str">
        <f t="shared" si="3"/>
        <v/>
      </c>
      <c r="HU3" s="83" t="str">
        <f t="shared" si="3"/>
        <v/>
      </c>
      <c r="HV3" s="83" t="str">
        <f t="shared" si="3"/>
        <v/>
      </c>
      <c r="HW3" s="83" t="str">
        <f t="shared" si="3"/>
        <v/>
      </c>
      <c r="HX3" s="83" t="str">
        <f t="shared" si="3"/>
        <v/>
      </c>
      <c r="HY3" s="83" t="str">
        <f t="shared" si="3"/>
        <v/>
      </c>
      <c r="HZ3" s="83" t="str">
        <f t="shared" si="3"/>
        <v/>
      </c>
      <c r="IA3" s="83">
        <f t="shared" si="3"/>
        <v>2026</v>
      </c>
      <c r="IB3" s="83" t="str">
        <f t="shared" si="3"/>
        <v/>
      </c>
      <c r="IC3" s="83" t="str">
        <f t="shared" si="3"/>
        <v/>
      </c>
      <c r="ID3" s="83" t="str">
        <f t="shared" si="3"/>
        <v/>
      </c>
      <c r="IE3" s="83" t="str">
        <f t="shared" si="3"/>
        <v/>
      </c>
      <c r="IF3" s="83" t="str">
        <f t="shared" si="3"/>
        <v/>
      </c>
      <c r="IG3" s="83" t="str">
        <f t="shared" si="3"/>
        <v/>
      </c>
      <c r="IH3" s="83" t="str">
        <f t="shared" si="3"/>
        <v/>
      </c>
      <c r="II3" s="83" t="str">
        <f t="shared" si="3"/>
        <v/>
      </c>
      <c r="IJ3" s="83">
        <f t="shared" si="3"/>
        <v>2026</v>
      </c>
      <c r="IK3" s="83" t="str">
        <f t="shared" si="3"/>
        <v/>
      </c>
      <c r="IL3" s="83" t="str">
        <f t="shared" si="3"/>
        <v/>
      </c>
      <c r="IM3" s="83" t="str">
        <f t="shared" si="3"/>
        <v/>
      </c>
      <c r="IN3" s="83" t="str">
        <f t="shared" si="3"/>
        <v/>
      </c>
      <c r="IO3" s="83" t="str">
        <f t="shared" si="3"/>
        <v/>
      </c>
      <c r="IP3" s="83" t="str">
        <f t="shared" si="3"/>
        <v/>
      </c>
      <c r="IQ3" s="83" t="str">
        <f t="shared" si="3"/>
        <v/>
      </c>
      <c r="IR3" s="83" t="str">
        <f t="shared" si="3"/>
        <v/>
      </c>
      <c r="IS3" s="83" t="str">
        <f t="shared" si="3"/>
        <v/>
      </c>
      <c r="IT3" s="83">
        <f t="shared" si="3"/>
        <v>2026</v>
      </c>
      <c r="IU3" s="83" t="str">
        <f t="shared" si="3"/>
        <v/>
      </c>
      <c r="IV3" s="83" t="str">
        <f t="shared" si="3"/>
        <v/>
      </c>
      <c r="IW3" s="83" t="str">
        <f t="shared" si="3"/>
        <v/>
      </c>
      <c r="IX3" s="83" t="str">
        <f t="shared" si="3"/>
        <v/>
      </c>
      <c r="IY3" s="83" t="str">
        <f t="shared" si="3"/>
        <v/>
      </c>
      <c r="IZ3" s="83" t="str">
        <f t="shared" si="3"/>
        <v/>
      </c>
      <c r="JA3" s="83" t="str">
        <f t="shared" si="3"/>
        <v/>
      </c>
      <c r="JB3" s="83" t="str">
        <f t="shared" si="3"/>
        <v/>
      </c>
      <c r="JC3" s="83" t="str">
        <f t="shared" si="3"/>
        <v/>
      </c>
      <c r="JD3" s="83" t="str">
        <f t="shared" si="3"/>
        <v/>
      </c>
      <c r="JE3" s="83">
        <f t="shared" si="3"/>
        <v>2026</v>
      </c>
      <c r="JF3" s="83" t="str">
        <f t="shared" si="3"/>
        <v/>
      </c>
      <c r="JG3" s="83" t="str">
        <f t="shared" si="3"/>
        <v/>
      </c>
      <c r="JH3" s="83" t="str">
        <f t="shared" si="3"/>
        <v/>
      </c>
      <c r="JI3" s="83" t="str">
        <f t="shared" si="3"/>
        <v/>
      </c>
      <c r="JJ3" s="83" t="str">
        <f t="shared" si="3"/>
        <v/>
      </c>
      <c r="JK3" s="83" t="str">
        <f t="shared" si="3"/>
        <v/>
      </c>
      <c r="JL3" s="83" t="str">
        <f t="shared" si="3"/>
        <v/>
      </c>
      <c r="JM3" s="83" t="str">
        <f t="shared" si="3"/>
        <v/>
      </c>
      <c r="JN3" s="83">
        <f t="shared" ref="JN3:LY3" si="4">IF(OR(DAY(JN5)=1,DAY(JN5)=10,DAY(JN5)=20),YEAR(JN5),"")</f>
        <v>2026</v>
      </c>
      <c r="JO3" s="83" t="str">
        <f t="shared" si="4"/>
        <v/>
      </c>
      <c r="JP3" s="83" t="str">
        <f t="shared" si="4"/>
        <v/>
      </c>
      <c r="JQ3" s="83" t="str">
        <f t="shared" si="4"/>
        <v/>
      </c>
      <c r="JR3" s="83" t="str">
        <f t="shared" si="4"/>
        <v/>
      </c>
      <c r="JS3" s="83" t="str">
        <f t="shared" si="4"/>
        <v/>
      </c>
      <c r="JT3" s="83" t="str">
        <f t="shared" si="4"/>
        <v/>
      </c>
      <c r="JU3" s="83" t="str">
        <f t="shared" si="4"/>
        <v/>
      </c>
      <c r="JV3" s="83" t="str">
        <f t="shared" si="4"/>
        <v/>
      </c>
      <c r="JW3" s="83" t="str">
        <f t="shared" si="4"/>
        <v/>
      </c>
      <c r="JX3" s="83">
        <f t="shared" si="4"/>
        <v>2026</v>
      </c>
      <c r="JY3" s="83" t="str">
        <f t="shared" si="4"/>
        <v/>
      </c>
      <c r="JZ3" s="83" t="str">
        <f t="shared" si="4"/>
        <v/>
      </c>
      <c r="KA3" s="83" t="str">
        <f t="shared" si="4"/>
        <v/>
      </c>
      <c r="KB3" s="83" t="str">
        <f t="shared" si="4"/>
        <v/>
      </c>
      <c r="KC3" s="83" t="str">
        <f t="shared" si="4"/>
        <v/>
      </c>
      <c r="KD3" s="83" t="str">
        <f t="shared" si="4"/>
        <v/>
      </c>
      <c r="KE3" s="83" t="str">
        <f t="shared" si="4"/>
        <v/>
      </c>
      <c r="KF3" s="83" t="str">
        <f t="shared" si="4"/>
        <v/>
      </c>
      <c r="KG3" s="83" t="str">
        <f t="shared" si="4"/>
        <v/>
      </c>
      <c r="KH3" s="83" t="str">
        <f t="shared" si="4"/>
        <v/>
      </c>
      <c r="KI3" s="83" t="str">
        <f t="shared" si="4"/>
        <v/>
      </c>
      <c r="KJ3" s="83">
        <f t="shared" si="4"/>
        <v>2026</v>
      </c>
      <c r="KK3" s="83" t="str">
        <f t="shared" si="4"/>
        <v/>
      </c>
      <c r="KL3" s="83" t="str">
        <f t="shared" si="4"/>
        <v/>
      </c>
      <c r="KM3" s="83" t="str">
        <f t="shared" si="4"/>
        <v/>
      </c>
      <c r="KN3" s="83" t="str">
        <f t="shared" si="4"/>
        <v/>
      </c>
      <c r="KO3" s="83" t="str">
        <f t="shared" si="4"/>
        <v/>
      </c>
      <c r="KP3" s="83" t="str">
        <f t="shared" si="4"/>
        <v/>
      </c>
      <c r="KQ3" s="83" t="str">
        <f t="shared" si="4"/>
        <v/>
      </c>
      <c r="KR3" s="83" t="str">
        <f t="shared" si="4"/>
        <v/>
      </c>
      <c r="KS3" s="83">
        <f t="shared" si="4"/>
        <v>2026</v>
      </c>
      <c r="KT3" s="83" t="str">
        <f t="shared" si="4"/>
        <v/>
      </c>
      <c r="KU3" s="83" t="str">
        <f t="shared" si="4"/>
        <v/>
      </c>
      <c r="KV3" s="83" t="str">
        <f t="shared" si="4"/>
        <v/>
      </c>
      <c r="KW3" s="83" t="str">
        <f t="shared" si="4"/>
        <v/>
      </c>
      <c r="KX3" s="83" t="str">
        <f t="shared" si="4"/>
        <v/>
      </c>
      <c r="KY3" s="83" t="str">
        <f t="shared" si="4"/>
        <v/>
      </c>
      <c r="KZ3" s="83" t="str">
        <f t="shared" si="4"/>
        <v/>
      </c>
      <c r="LA3" s="83" t="str">
        <f t="shared" si="4"/>
        <v/>
      </c>
      <c r="LB3" s="83" t="str">
        <f t="shared" si="4"/>
        <v/>
      </c>
      <c r="LC3" s="83">
        <f t="shared" si="4"/>
        <v>2026</v>
      </c>
      <c r="LD3" s="83" t="str">
        <f t="shared" si="4"/>
        <v/>
      </c>
      <c r="LE3" s="83" t="str">
        <f t="shared" si="4"/>
        <v/>
      </c>
      <c r="LF3" s="83" t="str">
        <f t="shared" si="4"/>
        <v/>
      </c>
      <c r="LG3" s="83" t="str">
        <f t="shared" si="4"/>
        <v/>
      </c>
      <c r="LH3" s="83" t="str">
        <f t="shared" si="4"/>
        <v/>
      </c>
      <c r="LI3" s="83" t="str">
        <f t="shared" si="4"/>
        <v/>
      </c>
      <c r="LJ3" s="83" t="str">
        <f t="shared" si="4"/>
        <v/>
      </c>
      <c r="LK3" s="83" t="str">
        <f t="shared" si="4"/>
        <v/>
      </c>
      <c r="LL3" s="83" t="str">
        <f t="shared" si="4"/>
        <v/>
      </c>
      <c r="LM3" s="83" t="str">
        <f t="shared" si="4"/>
        <v/>
      </c>
      <c r="LN3" s="83">
        <f t="shared" si="4"/>
        <v>2026</v>
      </c>
      <c r="LO3" s="83" t="str">
        <f t="shared" si="4"/>
        <v/>
      </c>
      <c r="LP3" s="83" t="str">
        <f t="shared" si="4"/>
        <v/>
      </c>
      <c r="LQ3" s="83" t="str">
        <f t="shared" si="4"/>
        <v/>
      </c>
      <c r="LR3" s="83" t="str">
        <f t="shared" si="4"/>
        <v/>
      </c>
      <c r="LS3" s="83" t="str">
        <f t="shared" si="4"/>
        <v/>
      </c>
      <c r="LT3" s="83" t="str">
        <f t="shared" si="4"/>
        <v/>
      </c>
      <c r="LU3" s="83" t="str">
        <f t="shared" si="4"/>
        <v/>
      </c>
      <c r="LV3" s="83" t="str">
        <f t="shared" si="4"/>
        <v/>
      </c>
      <c r="LW3" s="83">
        <f t="shared" si="4"/>
        <v>2026</v>
      </c>
      <c r="LX3" s="83" t="str">
        <f t="shared" si="4"/>
        <v/>
      </c>
      <c r="LY3" s="83" t="str">
        <f t="shared" si="4"/>
        <v/>
      </c>
      <c r="LZ3" s="83" t="str">
        <f t="shared" ref="LZ3:NS3" si="5">IF(OR(DAY(LZ5)=1,DAY(LZ5)=10,DAY(LZ5)=20),YEAR(LZ5),"")</f>
        <v/>
      </c>
      <c r="MA3" s="83" t="str">
        <f t="shared" si="5"/>
        <v/>
      </c>
      <c r="MB3" s="83" t="str">
        <f t="shared" si="5"/>
        <v/>
      </c>
      <c r="MC3" s="83" t="str">
        <f t="shared" si="5"/>
        <v/>
      </c>
      <c r="MD3" s="83" t="str">
        <f t="shared" si="5"/>
        <v/>
      </c>
      <c r="ME3" s="83" t="str">
        <f t="shared" si="5"/>
        <v/>
      </c>
      <c r="MF3" s="83" t="str">
        <f t="shared" si="5"/>
        <v/>
      </c>
      <c r="MG3" s="83">
        <f t="shared" si="5"/>
        <v>2026</v>
      </c>
      <c r="MH3" s="83" t="str">
        <f t="shared" si="5"/>
        <v/>
      </c>
      <c r="MI3" s="83" t="str">
        <f t="shared" si="5"/>
        <v/>
      </c>
      <c r="MJ3" s="83" t="str">
        <f t="shared" si="5"/>
        <v/>
      </c>
      <c r="MK3" s="83" t="str">
        <f t="shared" si="5"/>
        <v/>
      </c>
      <c r="ML3" s="83" t="str">
        <f t="shared" si="5"/>
        <v/>
      </c>
      <c r="MM3" s="83" t="str">
        <f t="shared" si="5"/>
        <v/>
      </c>
      <c r="MN3" s="83" t="str">
        <f t="shared" si="5"/>
        <v/>
      </c>
      <c r="MO3" s="83" t="str">
        <f t="shared" si="5"/>
        <v/>
      </c>
      <c r="MP3" s="83" t="str">
        <f t="shared" si="5"/>
        <v/>
      </c>
      <c r="MQ3" s="83" t="str">
        <f t="shared" si="5"/>
        <v/>
      </c>
      <c r="MR3" s="83" t="str">
        <f t="shared" si="5"/>
        <v/>
      </c>
      <c r="MS3" s="83">
        <f t="shared" si="5"/>
        <v>2026</v>
      </c>
      <c r="MT3" s="83" t="str">
        <f t="shared" si="5"/>
        <v/>
      </c>
      <c r="MU3" s="83" t="str">
        <f t="shared" si="5"/>
        <v/>
      </c>
      <c r="MV3" s="83" t="str">
        <f t="shared" si="5"/>
        <v/>
      </c>
      <c r="MW3" s="83" t="str">
        <f t="shared" si="5"/>
        <v/>
      </c>
      <c r="MX3" s="83" t="str">
        <f t="shared" si="5"/>
        <v/>
      </c>
      <c r="MY3" s="83" t="str">
        <f t="shared" si="5"/>
        <v/>
      </c>
      <c r="MZ3" s="83" t="str">
        <f t="shared" si="5"/>
        <v/>
      </c>
      <c r="NA3" s="83" t="str">
        <f t="shared" si="5"/>
        <v/>
      </c>
      <c r="NB3" s="83">
        <f t="shared" si="5"/>
        <v>2026</v>
      </c>
      <c r="NC3" s="83" t="str">
        <f t="shared" si="5"/>
        <v/>
      </c>
      <c r="ND3" s="83" t="str">
        <f t="shared" si="5"/>
        <v/>
      </c>
      <c r="NE3" s="83" t="str">
        <f t="shared" si="5"/>
        <v/>
      </c>
      <c r="NF3" s="83" t="str">
        <f t="shared" si="5"/>
        <v/>
      </c>
      <c r="NG3" s="83" t="str">
        <f t="shared" si="5"/>
        <v/>
      </c>
      <c r="NH3" s="83" t="str">
        <f t="shared" si="5"/>
        <v/>
      </c>
      <c r="NI3" s="83" t="str">
        <f t="shared" si="5"/>
        <v/>
      </c>
      <c r="NJ3" s="83" t="str">
        <f t="shared" si="5"/>
        <v/>
      </c>
      <c r="NK3" s="83" t="str">
        <f t="shared" si="5"/>
        <v/>
      </c>
      <c r="NL3" s="83">
        <f t="shared" si="5"/>
        <v>2026</v>
      </c>
      <c r="NM3" s="83" t="str">
        <f t="shared" si="5"/>
        <v/>
      </c>
      <c r="NN3" s="83" t="str">
        <f t="shared" si="5"/>
        <v/>
      </c>
      <c r="NO3" s="83" t="str">
        <f t="shared" si="5"/>
        <v/>
      </c>
      <c r="NP3" s="83" t="str">
        <f t="shared" si="5"/>
        <v/>
      </c>
      <c r="NQ3" s="83" t="str">
        <f t="shared" si="5"/>
        <v/>
      </c>
      <c r="NR3" s="83" t="str">
        <f t="shared" si="5"/>
        <v/>
      </c>
      <c r="NS3" s="83" t="str">
        <f t="shared" si="5"/>
        <v/>
      </c>
    </row>
    <row r="4" spans="2:383" s="64" customFormat="1" ht="18" customHeight="1">
      <c r="B4" s="85" t="s">
        <v>50</v>
      </c>
      <c r="C4" s="86">
        <v>45896</v>
      </c>
      <c r="D4" s="87"/>
      <c r="E4" s="87"/>
      <c r="F4" s="88"/>
      <c r="G4" s="87"/>
      <c r="H4" s="89"/>
      <c r="I4" s="89"/>
      <c r="J4" s="90"/>
      <c r="K4" s="90"/>
      <c r="L4" s="90"/>
      <c r="N4" s="91"/>
      <c r="O4" s="92"/>
      <c r="P4" s="92"/>
      <c r="Q4" s="93"/>
      <c r="R4" s="94" t="str">
        <f t="shared" ref="R4:CC4" si="6">IF(OR(DAY(R5)=1,DAY(R5)=10,DAY(R5)=20),MONTH(R5)&amp;"月","")</f>
        <v/>
      </c>
      <c r="S4" s="95" t="str">
        <f t="shared" si="6"/>
        <v/>
      </c>
      <c r="T4" s="95" t="str">
        <f t="shared" si="6"/>
        <v/>
      </c>
      <c r="U4" s="95" t="str">
        <f t="shared" si="6"/>
        <v/>
      </c>
      <c r="V4" s="95" t="str">
        <f t="shared" si="6"/>
        <v/>
      </c>
      <c r="W4" s="95" t="str">
        <f t="shared" si="6"/>
        <v>9月</v>
      </c>
      <c r="X4" s="95" t="str">
        <f t="shared" si="6"/>
        <v/>
      </c>
      <c r="Y4" s="95" t="str">
        <f t="shared" si="6"/>
        <v/>
      </c>
      <c r="Z4" s="95" t="str">
        <f t="shared" si="6"/>
        <v/>
      </c>
      <c r="AA4" s="94" t="str">
        <f t="shared" si="6"/>
        <v/>
      </c>
      <c r="AB4" s="94" t="str">
        <f t="shared" si="6"/>
        <v/>
      </c>
      <c r="AC4" s="94" t="str">
        <f t="shared" si="6"/>
        <v/>
      </c>
      <c r="AD4" s="94" t="str">
        <f t="shared" si="6"/>
        <v/>
      </c>
      <c r="AE4" s="94" t="str">
        <f t="shared" si="6"/>
        <v/>
      </c>
      <c r="AF4" s="94" t="str">
        <f t="shared" si="6"/>
        <v>9月</v>
      </c>
      <c r="AG4" s="94" t="str">
        <f t="shared" si="6"/>
        <v/>
      </c>
      <c r="AH4" s="94" t="str">
        <f t="shared" si="6"/>
        <v/>
      </c>
      <c r="AI4" s="94" t="str">
        <f t="shared" si="6"/>
        <v/>
      </c>
      <c r="AJ4" s="94" t="str">
        <f t="shared" si="6"/>
        <v/>
      </c>
      <c r="AK4" s="94" t="str">
        <f t="shared" si="6"/>
        <v/>
      </c>
      <c r="AL4" s="94" t="str">
        <f t="shared" si="6"/>
        <v/>
      </c>
      <c r="AM4" s="94" t="str">
        <f t="shared" si="6"/>
        <v/>
      </c>
      <c r="AN4" s="94" t="str">
        <f t="shared" si="6"/>
        <v/>
      </c>
      <c r="AO4" s="94" t="str">
        <f t="shared" si="6"/>
        <v/>
      </c>
      <c r="AP4" s="94" t="str">
        <f t="shared" si="6"/>
        <v>9月</v>
      </c>
      <c r="AQ4" s="94" t="str">
        <f t="shared" si="6"/>
        <v/>
      </c>
      <c r="AR4" s="94" t="str">
        <f t="shared" si="6"/>
        <v/>
      </c>
      <c r="AS4" s="94" t="str">
        <f t="shared" si="6"/>
        <v/>
      </c>
      <c r="AT4" s="94" t="str">
        <f t="shared" si="6"/>
        <v/>
      </c>
      <c r="AU4" s="94" t="str">
        <f t="shared" si="6"/>
        <v/>
      </c>
      <c r="AV4" s="94" t="str">
        <f t="shared" si="6"/>
        <v/>
      </c>
      <c r="AW4" s="94" t="str">
        <f t="shared" si="6"/>
        <v/>
      </c>
      <c r="AX4" s="94" t="str">
        <f t="shared" si="6"/>
        <v/>
      </c>
      <c r="AY4" s="94" t="str">
        <f t="shared" si="6"/>
        <v/>
      </c>
      <c r="AZ4" s="94" t="str">
        <f t="shared" si="6"/>
        <v/>
      </c>
      <c r="BA4" s="94" t="str">
        <f t="shared" si="6"/>
        <v>10月</v>
      </c>
      <c r="BB4" s="94" t="str">
        <f t="shared" si="6"/>
        <v/>
      </c>
      <c r="BC4" s="94" t="str">
        <f t="shared" si="6"/>
        <v/>
      </c>
      <c r="BD4" s="94" t="str">
        <f t="shared" si="6"/>
        <v/>
      </c>
      <c r="BE4" s="94" t="str">
        <f t="shared" si="6"/>
        <v/>
      </c>
      <c r="BF4" s="94" t="str">
        <f t="shared" si="6"/>
        <v/>
      </c>
      <c r="BG4" s="94" t="str">
        <f t="shared" si="6"/>
        <v/>
      </c>
      <c r="BH4" s="94" t="str">
        <f t="shared" si="6"/>
        <v/>
      </c>
      <c r="BI4" s="94" t="str">
        <f t="shared" si="6"/>
        <v/>
      </c>
      <c r="BJ4" s="94" t="str">
        <f t="shared" si="6"/>
        <v>10月</v>
      </c>
      <c r="BK4" s="94" t="str">
        <f t="shared" si="6"/>
        <v/>
      </c>
      <c r="BL4" s="94" t="str">
        <f t="shared" si="6"/>
        <v/>
      </c>
      <c r="BM4" s="94" t="str">
        <f t="shared" si="6"/>
        <v/>
      </c>
      <c r="BN4" s="94" t="str">
        <f t="shared" si="6"/>
        <v/>
      </c>
      <c r="BO4" s="94" t="str">
        <f t="shared" si="6"/>
        <v/>
      </c>
      <c r="BP4" s="94" t="str">
        <f t="shared" si="6"/>
        <v/>
      </c>
      <c r="BQ4" s="94" t="str">
        <f t="shared" si="6"/>
        <v/>
      </c>
      <c r="BR4" s="94" t="str">
        <f t="shared" si="6"/>
        <v/>
      </c>
      <c r="BS4" s="94" t="str">
        <f t="shared" si="6"/>
        <v/>
      </c>
      <c r="BT4" s="94" t="str">
        <f t="shared" si="6"/>
        <v>10月</v>
      </c>
      <c r="BU4" s="94" t="str">
        <f t="shared" si="6"/>
        <v/>
      </c>
      <c r="BV4" s="94" t="str">
        <f t="shared" si="6"/>
        <v/>
      </c>
      <c r="BW4" s="94" t="str">
        <f t="shared" si="6"/>
        <v/>
      </c>
      <c r="BX4" s="94" t="str">
        <f t="shared" si="6"/>
        <v/>
      </c>
      <c r="BY4" s="94" t="str">
        <f t="shared" si="6"/>
        <v/>
      </c>
      <c r="BZ4" s="94" t="str">
        <f t="shared" si="6"/>
        <v/>
      </c>
      <c r="CA4" s="94" t="str">
        <f t="shared" si="6"/>
        <v/>
      </c>
      <c r="CB4" s="94" t="str">
        <f t="shared" si="6"/>
        <v/>
      </c>
      <c r="CC4" s="94" t="str">
        <f t="shared" si="6"/>
        <v/>
      </c>
      <c r="CD4" s="94" t="str">
        <f t="shared" ref="CD4:EO4" si="7">IF(OR(DAY(CD5)=1,DAY(CD5)=10,DAY(CD5)=20),MONTH(CD5)&amp;"月","")</f>
        <v/>
      </c>
      <c r="CE4" s="94" t="str">
        <f t="shared" si="7"/>
        <v/>
      </c>
      <c r="CF4" s="94" t="str">
        <f t="shared" si="7"/>
        <v>11月</v>
      </c>
      <c r="CG4" s="94" t="str">
        <f t="shared" si="7"/>
        <v/>
      </c>
      <c r="CH4" s="94" t="str">
        <f t="shared" si="7"/>
        <v/>
      </c>
      <c r="CI4" s="94" t="str">
        <f t="shared" si="7"/>
        <v/>
      </c>
      <c r="CJ4" s="94" t="str">
        <f t="shared" si="7"/>
        <v/>
      </c>
      <c r="CK4" s="94" t="str">
        <f t="shared" si="7"/>
        <v/>
      </c>
      <c r="CL4" s="94" t="str">
        <f t="shared" si="7"/>
        <v/>
      </c>
      <c r="CM4" s="94" t="str">
        <f t="shared" si="7"/>
        <v/>
      </c>
      <c r="CN4" s="94" t="str">
        <f t="shared" si="7"/>
        <v/>
      </c>
      <c r="CO4" s="94" t="str">
        <f t="shared" si="7"/>
        <v>11月</v>
      </c>
      <c r="CP4" s="94" t="str">
        <f t="shared" si="7"/>
        <v/>
      </c>
      <c r="CQ4" s="94" t="str">
        <f t="shared" si="7"/>
        <v/>
      </c>
      <c r="CR4" s="94" t="str">
        <f t="shared" si="7"/>
        <v/>
      </c>
      <c r="CS4" s="94" t="str">
        <f t="shared" si="7"/>
        <v/>
      </c>
      <c r="CT4" s="94" t="str">
        <f t="shared" si="7"/>
        <v/>
      </c>
      <c r="CU4" s="94" t="str">
        <f t="shared" si="7"/>
        <v/>
      </c>
      <c r="CV4" s="94" t="str">
        <f t="shared" si="7"/>
        <v/>
      </c>
      <c r="CW4" s="94" t="str">
        <f t="shared" si="7"/>
        <v/>
      </c>
      <c r="CX4" s="94" t="str">
        <f t="shared" si="7"/>
        <v/>
      </c>
      <c r="CY4" s="94" t="str">
        <f t="shared" si="7"/>
        <v>11月</v>
      </c>
      <c r="CZ4" s="94" t="str">
        <f t="shared" si="7"/>
        <v/>
      </c>
      <c r="DA4" s="94" t="str">
        <f t="shared" si="7"/>
        <v/>
      </c>
      <c r="DB4" s="94" t="str">
        <f t="shared" si="7"/>
        <v/>
      </c>
      <c r="DC4" s="94" t="str">
        <f t="shared" si="7"/>
        <v/>
      </c>
      <c r="DD4" s="94" t="str">
        <f t="shared" si="7"/>
        <v/>
      </c>
      <c r="DE4" s="94" t="str">
        <f t="shared" si="7"/>
        <v/>
      </c>
      <c r="DF4" s="94" t="str">
        <f t="shared" si="7"/>
        <v/>
      </c>
      <c r="DG4" s="94" t="str">
        <f t="shared" si="7"/>
        <v/>
      </c>
      <c r="DH4" s="94" t="str">
        <f t="shared" si="7"/>
        <v/>
      </c>
      <c r="DI4" s="94" t="str">
        <f t="shared" si="7"/>
        <v/>
      </c>
      <c r="DJ4" s="94" t="str">
        <f t="shared" si="7"/>
        <v>12月</v>
      </c>
      <c r="DK4" s="94" t="str">
        <f t="shared" si="7"/>
        <v/>
      </c>
      <c r="DL4" s="94" t="str">
        <f t="shared" si="7"/>
        <v/>
      </c>
      <c r="DM4" s="94" t="str">
        <f t="shared" si="7"/>
        <v/>
      </c>
      <c r="DN4" s="94" t="str">
        <f t="shared" si="7"/>
        <v/>
      </c>
      <c r="DO4" s="94" t="str">
        <f t="shared" si="7"/>
        <v/>
      </c>
      <c r="DP4" s="94" t="str">
        <f t="shared" si="7"/>
        <v/>
      </c>
      <c r="DQ4" s="94" t="str">
        <f t="shared" si="7"/>
        <v/>
      </c>
      <c r="DR4" s="94" t="str">
        <f t="shared" si="7"/>
        <v/>
      </c>
      <c r="DS4" s="94" t="str">
        <f t="shared" si="7"/>
        <v>12月</v>
      </c>
      <c r="DT4" s="94" t="str">
        <f t="shared" si="7"/>
        <v/>
      </c>
      <c r="DU4" s="94" t="str">
        <f t="shared" si="7"/>
        <v/>
      </c>
      <c r="DV4" s="94" t="str">
        <f t="shared" si="7"/>
        <v/>
      </c>
      <c r="DW4" s="94" t="str">
        <f t="shared" si="7"/>
        <v/>
      </c>
      <c r="DX4" s="94" t="str">
        <f t="shared" si="7"/>
        <v/>
      </c>
      <c r="DY4" s="94" t="str">
        <f t="shared" si="7"/>
        <v/>
      </c>
      <c r="DZ4" s="94" t="str">
        <f t="shared" si="7"/>
        <v/>
      </c>
      <c r="EA4" s="94" t="str">
        <f t="shared" si="7"/>
        <v/>
      </c>
      <c r="EB4" s="94" t="str">
        <f t="shared" si="7"/>
        <v/>
      </c>
      <c r="EC4" s="94" t="str">
        <f t="shared" si="7"/>
        <v>12月</v>
      </c>
      <c r="ED4" s="94" t="str">
        <f t="shared" si="7"/>
        <v/>
      </c>
      <c r="EE4" s="94" t="str">
        <f t="shared" si="7"/>
        <v/>
      </c>
      <c r="EF4" s="94" t="str">
        <f t="shared" si="7"/>
        <v/>
      </c>
      <c r="EG4" s="94" t="str">
        <f t="shared" si="7"/>
        <v/>
      </c>
      <c r="EH4" s="94" t="str">
        <f t="shared" si="7"/>
        <v/>
      </c>
      <c r="EI4" s="94" t="str">
        <f t="shared" si="7"/>
        <v/>
      </c>
      <c r="EJ4" s="94" t="str">
        <f t="shared" si="7"/>
        <v/>
      </c>
      <c r="EK4" s="94" t="str">
        <f t="shared" si="7"/>
        <v/>
      </c>
      <c r="EL4" s="94" t="str">
        <f t="shared" si="7"/>
        <v/>
      </c>
      <c r="EM4" s="94" t="str">
        <f t="shared" si="7"/>
        <v/>
      </c>
      <c r="EN4" s="94" t="str">
        <f t="shared" si="7"/>
        <v/>
      </c>
      <c r="EO4" s="94" t="str">
        <f t="shared" si="7"/>
        <v>1月</v>
      </c>
      <c r="EP4" s="94" t="str">
        <f t="shared" ref="EP4:HA4" si="8">IF(OR(DAY(EP5)=1,DAY(EP5)=10,DAY(EP5)=20),MONTH(EP5)&amp;"月","")</f>
        <v/>
      </c>
      <c r="EQ4" s="94" t="str">
        <f t="shared" si="8"/>
        <v/>
      </c>
      <c r="ER4" s="94" t="str">
        <f t="shared" si="8"/>
        <v/>
      </c>
      <c r="ES4" s="94" t="str">
        <f t="shared" si="8"/>
        <v/>
      </c>
      <c r="ET4" s="94" t="str">
        <f t="shared" si="8"/>
        <v/>
      </c>
      <c r="EU4" s="94" t="str">
        <f t="shared" si="8"/>
        <v/>
      </c>
      <c r="EV4" s="94" t="str">
        <f t="shared" si="8"/>
        <v/>
      </c>
      <c r="EW4" s="94" t="str">
        <f t="shared" si="8"/>
        <v/>
      </c>
      <c r="EX4" s="94" t="str">
        <f t="shared" si="8"/>
        <v>1月</v>
      </c>
      <c r="EY4" s="94" t="str">
        <f t="shared" si="8"/>
        <v/>
      </c>
      <c r="EZ4" s="94" t="str">
        <f t="shared" si="8"/>
        <v/>
      </c>
      <c r="FA4" s="94" t="str">
        <f t="shared" si="8"/>
        <v/>
      </c>
      <c r="FB4" s="94" t="str">
        <f t="shared" si="8"/>
        <v/>
      </c>
      <c r="FC4" s="94" t="str">
        <f t="shared" si="8"/>
        <v/>
      </c>
      <c r="FD4" s="94" t="str">
        <f t="shared" si="8"/>
        <v/>
      </c>
      <c r="FE4" s="94" t="str">
        <f t="shared" si="8"/>
        <v/>
      </c>
      <c r="FF4" s="94" t="str">
        <f t="shared" si="8"/>
        <v/>
      </c>
      <c r="FG4" s="94" t="str">
        <f t="shared" si="8"/>
        <v/>
      </c>
      <c r="FH4" s="94" t="str">
        <f t="shared" si="8"/>
        <v>1月</v>
      </c>
      <c r="FI4" s="94" t="str">
        <f t="shared" si="8"/>
        <v/>
      </c>
      <c r="FJ4" s="94" t="str">
        <f t="shared" si="8"/>
        <v/>
      </c>
      <c r="FK4" s="94" t="str">
        <f t="shared" si="8"/>
        <v/>
      </c>
      <c r="FL4" s="94" t="str">
        <f t="shared" si="8"/>
        <v/>
      </c>
      <c r="FM4" s="94" t="str">
        <f t="shared" si="8"/>
        <v/>
      </c>
      <c r="FN4" s="94" t="str">
        <f t="shared" si="8"/>
        <v/>
      </c>
      <c r="FO4" s="94" t="str">
        <f t="shared" si="8"/>
        <v/>
      </c>
      <c r="FP4" s="94" t="str">
        <f t="shared" si="8"/>
        <v/>
      </c>
      <c r="FQ4" s="94" t="str">
        <f t="shared" si="8"/>
        <v/>
      </c>
      <c r="FR4" s="94" t="str">
        <f t="shared" si="8"/>
        <v/>
      </c>
      <c r="FS4" s="94" t="str">
        <f t="shared" si="8"/>
        <v/>
      </c>
      <c r="FT4" s="94" t="str">
        <f t="shared" si="8"/>
        <v>2月</v>
      </c>
      <c r="FU4" s="94" t="str">
        <f t="shared" si="8"/>
        <v/>
      </c>
      <c r="FV4" s="94" t="str">
        <f t="shared" si="8"/>
        <v/>
      </c>
      <c r="FW4" s="94" t="str">
        <f t="shared" si="8"/>
        <v/>
      </c>
      <c r="FX4" s="94" t="str">
        <f t="shared" si="8"/>
        <v/>
      </c>
      <c r="FY4" s="94" t="str">
        <f t="shared" si="8"/>
        <v/>
      </c>
      <c r="FZ4" s="94" t="str">
        <f t="shared" si="8"/>
        <v/>
      </c>
      <c r="GA4" s="94" t="str">
        <f t="shared" si="8"/>
        <v/>
      </c>
      <c r="GB4" s="94" t="str">
        <f t="shared" si="8"/>
        <v/>
      </c>
      <c r="GC4" s="94" t="str">
        <f t="shared" si="8"/>
        <v>2月</v>
      </c>
      <c r="GD4" s="94" t="str">
        <f t="shared" si="8"/>
        <v/>
      </c>
      <c r="GE4" s="94" t="str">
        <f t="shared" si="8"/>
        <v/>
      </c>
      <c r="GF4" s="94" t="str">
        <f t="shared" si="8"/>
        <v/>
      </c>
      <c r="GG4" s="94" t="str">
        <f t="shared" si="8"/>
        <v/>
      </c>
      <c r="GH4" s="94" t="str">
        <f t="shared" si="8"/>
        <v/>
      </c>
      <c r="GI4" s="94" t="str">
        <f t="shared" si="8"/>
        <v/>
      </c>
      <c r="GJ4" s="94" t="str">
        <f t="shared" si="8"/>
        <v/>
      </c>
      <c r="GK4" s="94" t="str">
        <f t="shared" si="8"/>
        <v/>
      </c>
      <c r="GL4" s="94" t="str">
        <f t="shared" si="8"/>
        <v/>
      </c>
      <c r="GM4" s="94" t="str">
        <f t="shared" si="8"/>
        <v>2月</v>
      </c>
      <c r="GN4" s="94" t="str">
        <f t="shared" si="8"/>
        <v/>
      </c>
      <c r="GO4" s="94" t="str">
        <f t="shared" si="8"/>
        <v/>
      </c>
      <c r="GP4" s="94" t="str">
        <f t="shared" si="8"/>
        <v/>
      </c>
      <c r="GQ4" s="94" t="str">
        <f t="shared" si="8"/>
        <v/>
      </c>
      <c r="GR4" s="94" t="str">
        <f t="shared" si="8"/>
        <v/>
      </c>
      <c r="GS4" s="94" t="str">
        <f t="shared" si="8"/>
        <v/>
      </c>
      <c r="GT4" s="94" t="str">
        <f t="shared" si="8"/>
        <v/>
      </c>
      <c r="GU4" s="94" t="str">
        <f t="shared" si="8"/>
        <v/>
      </c>
      <c r="GV4" s="94" t="str">
        <f t="shared" si="8"/>
        <v>3月</v>
      </c>
      <c r="GW4" s="94" t="str">
        <f t="shared" si="8"/>
        <v/>
      </c>
      <c r="GX4" s="94" t="str">
        <f t="shared" si="8"/>
        <v/>
      </c>
      <c r="GY4" s="94" t="str">
        <f t="shared" si="8"/>
        <v/>
      </c>
      <c r="GZ4" s="94" t="str">
        <f t="shared" si="8"/>
        <v/>
      </c>
      <c r="HA4" s="94" t="str">
        <f t="shared" si="8"/>
        <v/>
      </c>
      <c r="HB4" s="94" t="str">
        <f t="shared" ref="HB4:JM4" si="9">IF(OR(DAY(HB5)=1,DAY(HB5)=10,DAY(HB5)=20),MONTH(HB5)&amp;"月","")</f>
        <v/>
      </c>
      <c r="HC4" s="94" t="str">
        <f t="shared" si="9"/>
        <v/>
      </c>
      <c r="HD4" s="94" t="str">
        <f t="shared" si="9"/>
        <v/>
      </c>
      <c r="HE4" s="94" t="str">
        <f t="shared" si="9"/>
        <v>3月</v>
      </c>
      <c r="HF4" s="94" t="str">
        <f t="shared" si="9"/>
        <v/>
      </c>
      <c r="HG4" s="94" t="str">
        <f t="shared" si="9"/>
        <v/>
      </c>
      <c r="HH4" s="94" t="str">
        <f t="shared" si="9"/>
        <v/>
      </c>
      <c r="HI4" s="94" t="str">
        <f t="shared" si="9"/>
        <v/>
      </c>
      <c r="HJ4" s="94" t="str">
        <f t="shared" si="9"/>
        <v/>
      </c>
      <c r="HK4" s="94" t="str">
        <f t="shared" si="9"/>
        <v/>
      </c>
      <c r="HL4" s="94" t="str">
        <f t="shared" si="9"/>
        <v/>
      </c>
      <c r="HM4" s="94" t="str">
        <f t="shared" si="9"/>
        <v/>
      </c>
      <c r="HN4" s="94" t="str">
        <f t="shared" si="9"/>
        <v/>
      </c>
      <c r="HO4" s="94" t="str">
        <f t="shared" si="9"/>
        <v>3月</v>
      </c>
      <c r="HP4" s="94" t="str">
        <f t="shared" si="9"/>
        <v/>
      </c>
      <c r="HQ4" s="94" t="str">
        <f t="shared" si="9"/>
        <v/>
      </c>
      <c r="HR4" s="94" t="str">
        <f t="shared" si="9"/>
        <v/>
      </c>
      <c r="HS4" s="94" t="str">
        <f t="shared" si="9"/>
        <v/>
      </c>
      <c r="HT4" s="94" t="str">
        <f t="shared" si="9"/>
        <v/>
      </c>
      <c r="HU4" s="94" t="str">
        <f t="shared" si="9"/>
        <v/>
      </c>
      <c r="HV4" s="94" t="str">
        <f t="shared" si="9"/>
        <v/>
      </c>
      <c r="HW4" s="94" t="str">
        <f t="shared" si="9"/>
        <v/>
      </c>
      <c r="HX4" s="94" t="str">
        <f t="shared" si="9"/>
        <v/>
      </c>
      <c r="HY4" s="94" t="str">
        <f t="shared" si="9"/>
        <v/>
      </c>
      <c r="HZ4" s="94" t="str">
        <f t="shared" si="9"/>
        <v/>
      </c>
      <c r="IA4" s="94" t="str">
        <f t="shared" si="9"/>
        <v>4月</v>
      </c>
      <c r="IB4" s="94" t="str">
        <f t="shared" si="9"/>
        <v/>
      </c>
      <c r="IC4" s="94" t="str">
        <f t="shared" si="9"/>
        <v/>
      </c>
      <c r="ID4" s="94" t="str">
        <f t="shared" si="9"/>
        <v/>
      </c>
      <c r="IE4" s="94" t="str">
        <f t="shared" si="9"/>
        <v/>
      </c>
      <c r="IF4" s="94" t="str">
        <f t="shared" si="9"/>
        <v/>
      </c>
      <c r="IG4" s="94" t="str">
        <f t="shared" si="9"/>
        <v/>
      </c>
      <c r="IH4" s="94" t="str">
        <f t="shared" si="9"/>
        <v/>
      </c>
      <c r="II4" s="94" t="str">
        <f t="shared" si="9"/>
        <v/>
      </c>
      <c r="IJ4" s="94" t="str">
        <f t="shared" si="9"/>
        <v>4月</v>
      </c>
      <c r="IK4" s="94" t="str">
        <f t="shared" si="9"/>
        <v/>
      </c>
      <c r="IL4" s="94" t="str">
        <f t="shared" si="9"/>
        <v/>
      </c>
      <c r="IM4" s="94" t="str">
        <f t="shared" si="9"/>
        <v/>
      </c>
      <c r="IN4" s="94" t="str">
        <f t="shared" si="9"/>
        <v/>
      </c>
      <c r="IO4" s="94" t="str">
        <f t="shared" si="9"/>
        <v/>
      </c>
      <c r="IP4" s="94" t="str">
        <f t="shared" si="9"/>
        <v/>
      </c>
      <c r="IQ4" s="94" t="str">
        <f t="shared" si="9"/>
        <v/>
      </c>
      <c r="IR4" s="94" t="str">
        <f t="shared" si="9"/>
        <v/>
      </c>
      <c r="IS4" s="94" t="str">
        <f t="shared" si="9"/>
        <v/>
      </c>
      <c r="IT4" s="94" t="str">
        <f t="shared" si="9"/>
        <v>4月</v>
      </c>
      <c r="IU4" s="94" t="str">
        <f t="shared" si="9"/>
        <v/>
      </c>
      <c r="IV4" s="94" t="str">
        <f t="shared" si="9"/>
        <v/>
      </c>
      <c r="IW4" s="94" t="str">
        <f t="shared" si="9"/>
        <v/>
      </c>
      <c r="IX4" s="94" t="str">
        <f t="shared" si="9"/>
        <v/>
      </c>
      <c r="IY4" s="94" t="str">
        <f t="shared" si="9"/>
        <v/>
      </c>
      <c r="IZ4" s="94" t="str">
        <f t="shared" si="9"/>
        <v/>
      </c>
      <c r="JA4" s="94" t="str">
        <f t="shared" si="9"/>
        <v/>
      </c>
      <c r="JB4" s="94" t="str">
        <f t="shared" si="9"/>
        <v/>
      </c>
      <c r="JC4" s="94" t="str">
        <f t="shared" si="9"/>
        <v/>
      </c>
      <c r="JD4" s="94" t="str">
        <f t="shared" si="9"/>
        <v/>
      </c>
      <c r="JE4" s="94" t="str">
        <f t="shared" si="9"/>
        <v>5月</v>
      </c>
      <c r="JF4" s="94" t="str">
        <f t="shared" si="9"/>
        <v/>
      </c>
      <c r="JG4" s="94" t="str">
        <f t="shared" si="9"/>
        <v/>
      </c>
      <c r="JH4" s="94" t="str">
        <f t="shared" si="9"/>
        <v/>
      </c>
      <c r="JI4" s="94" t="str">
        <f t="shared" si="9"/>
        <v/>
      </c>
      <c r="JJ4" s="94" t="str">
        <f t="shared" si="9"/>
        <v/>
      </c>
      <c r="JK4" s="94" t="str">
        <f t="shared" si="9"/>
        <v/>
      </c>
      <c r="JL4" s="94" t="str">
        <f t="shared" si="9"/>
        <v/>
      </c>
      <c r="JM4" s="94" t="str">
        <f t="shared" si="9"/>
        <v/>
      </c>
      <c r="JN4" s="94" t="str">
        <f t="shared" ref="JN4:LY4" si="10">IF(OR(DAY(JN5)=1,DAY(JN5)=10,DAY(JN5)=20),MONTH(JN5)&amp;"月","")</f>
        <v>5月</v>
      </c>
      <c r="JO4" s="94" t="str">
        <f t="shared" si="10"/>
        <v/>
      </c>
      <c r="JP4" s="94" t="str">
        <f t="shared" si="10"/>
        <v/>
      </c>
      <c r="JQ4" s="94" t="str">
        <f t="shared" si="10"/>
        <v/>
      </c>
      <c r="JR4" s="94" t="str">
        <f t="shared" si="10"/>
        <v/>
      </c>
      <c r="JS4" s="94" t="str">
        <f t="shared" si="10"/>
        <v/>
      </c>
      <c r="JT4" s="94" t="str">
        <f t="shared" si="10"/>
        <v/>
      </c>
      <c r="JU4" s="94" t="str">
        <f t="shared" si="10"/>
        <v/>
      </c>
      <c r="JV4" s="94" t="str">
        <f t="shared" si="10"/>
        <v/>
      </c>
      <c r="JW4" s="94" t="str">
        <f t="shared" si="10"/>
        <v/>
      </c>
      <c r="JX4" s="94" t="str">
        <f t="shared" si="10"/>
        <v>5月</v>
      </c>
      <c r="JY4" s="94" t="str">
        <f t="shared" si="10"/>
        <v/>
      </c>
      <c r="JZ4" s="94" t="str">
        <f t="shared" si="10"/>
        <v/>
      </c>
      <c r="KA4" s="94" t="str">
        <f t="shared" si="10"/>
        <v/>
      </c>
      <c r="KB4" s="94" t="str">
        <f t="shared" si="10"/>
        <v/>
      </c>
      <c r="KC4" s="94" t="str">
        <f t="shared" si="10"/>
        <v/>
      </c>
      <c r="KD4" s="94" t="str">
        <f t="shared" si="10"/>
        <v/>
      </c>
      <c r="KE4" s="94" t="str">
        <f t="shared" si="10"/>
        <v/>
      </c>
      <c r="KF4" s="94" t="str">
        <f t="shared" si="10"/>
        <v/>
      </c>
      <c r="KG4" s="94" t="str">
        <f t="shared" si="10"/>
        <v/>
      </c>
      <c r="KH4" s="94" t="str">
        <f t="shared" si="10"/>
        <v/>
      </c>
      <c r="KI4" s="94" t="str">
        <f t="shared" si="10"/>
        <v/>
      </c>
      <c r="KJ4" s="94" t="str">
        <f t="shared" si="10"/>
        <v>6月</v>
      </c>
      <c r="KK4" s="94" t="str">
        <f t="shared" si="10"/>
        <v/>
      </c>
      <c r="KL4" s="94" t="str">
        <f t="shared" si="10"/>
        <v/>
      </c>
      <c r="KM4" s="94" t="str">
        <f t="shared" si="10"/>
        <v/>
      </c>
      <c r="KN4" s="94" t="str">
        <f t="shared" si="10"/>
        <v/>
      </c>
      <c r="KO4" s="94" t="str">
        <f t="shared" si="10"/>
        <v/>
      </c>
      <c r="KP4" s="94" t="str">
        <f t="shared" si="10"/>
        <v/>
      </c>
      <c r="KQ4" s="94" t="str">
        <f t="shared" si="10"/>
        <v/>
      </c>
      <c r="KR4" s="94" t="str">
        <f t="shared" si="10"/>
        <v/>
      </c>
      <c r="KS4" s="94" t="str">
        <f t="shared" si="10"/>
        <v>6月</v>
      </c>
      <c r="KT4" s="94" t="str">
        <f t="shared" si="10"/>
        <v/>
      </c>
      <c r="KU4" s="94" t="str">
        <f t="shared" si="10"/>
        <v/>
      </c>
      <c r="KV4" s="94" t="str">
        <f t="shared" si="10"/>
        <v/>
      </c>
      <c r="KW4" s="94" t="str">
        <f t="shared" si="10"/>
        <v/>
      </c>
      <c r="KX4" s="94" t="str">
        <f t="shared" si="10"/>
        <v/>
      </c>
      <c r="KY4" s="94" t="str">
        <f t="shared" si="10"/>
        <v/>
      </c>
      <c r="KZ4" s="94" t="str">
        <f t="shared" si="10"/>
        <v/>
      </c>
      <c r="LA4" s="94" t="str">
        <f t="shared" si="10"/>
        <v/>
      </c>
      <c r="LB4" s="94" t="str">
        <f t="shared" si="10"/>
        <v/>
      </c>
      <c r="LC4" s="94" t="str">
        <f t="shared" si="10"/>
        <v>6月</v>
      </c>
      <c r="LD4" s="94" t="str">
        <f t="shared" si="10"/>
        <v/>
      </c>
      <c r="LE4" s="94" t="str">
        <f t="shared" si="10"/>
        <v/>
      </c>
      <c r="LF4" s="94" t="str">
        <f t="shared" si="10"/>
        <v/>
      </c>
      <c r="LG4" s="94" t="str">
        <f t="shared" si="10"/>
        <v/>
      </c>
      <c r="LH4" s="94" t="str">
        <f t="shared" si="10"/>
        <v/>
      </c>
      <c r="LI4" s="94" t="str">
        <f t="shared" si="10"/>
        <v/>
      </c>
      <c r="LJ4" s="94" t="str">
        <f t="shared" si="10"/>
        <v/>
      </c>
      <c r="LK4" s="94" t="str">
        <f t="shared" si="10"/>
        <v/>
      </c>
      <c r="LL4" s="94" t="str">
        <f t="shared" si="10"/>
        <v/>
      </c>
      <c r="LM4" s="94" t="str">
        <f t="shared" si="10"/>
        <v/>
      </c>
      <c r="LN4" s="94" t="str">
        <f t="shared" si="10"/>
        <v>7月</v>
      </c>
      <c r="LO4" s="94" t="str">
        <f t="shared" si="10"/>
        <v/>
      </c>
      <c r="LP4" s="94" t="str">
        <f t="shared" si="10"/>
        <v/>
      </c>
      <c r="LQ4" s="94" t="str">
        <f t="shared" si="10"/>
        <v/>
      </c>
      <c r="LR4" s="94" t="str">
        <f t="shared" si="10"/>
        <v/>
      </c>
      <c r="LS4" s="94" t="str">
        <f t="shared" si="10"/>
        <v/>
      </c>
      <c r="LT4" s="94" t="str">
        <f t="shared" si="10"/>
        <v/>
      </c>
      <c r="LU4" s="94" t="str">
        <f t="shared" si="10"/>
        <v/>
      </c>
      <c r="LV4" s="94" t="str">
        <f t="shared" si="10"/>
        <v/>
      </c>
      <c r="LW4" s="94" t="str">
        <f t="shared" si="10"/>
        <v>7月</v>
      </c>
      <c r="LX4" s="94" t="str">
        <f t="shared" si="10"/>
        <v/>
      </c>
      <c r="LY4" s="94" t="str">
        <f t="shared" si="10"/>
        <v/>
      </c>
      <c r="LZ4" s="94" t="str">
        <f t="shared" ref="LZ4:NS4" si="11">IF(OR(DAY(LZ5)=1,DAY(LZ5)=10,DAY(LZ5)=20),MONTH(LZ5)&amp;"月","")</f>
        <v/>
      </c>
      <c r="MA4" s="94" t="str">
        <f t="shared" si="11"/>
        <v/>
      </c>
      <c r="MB4" s="94" t="str">
        <f t="shared" si="11"/>
        <v/>
      </c>
      <c r="MC4" s="94" t="str">
        <f t="shared" si="11"/>
        <v/>
      </c>
      <c r="MD4" s="94" t="str">
        <f t="shared" si="11"/>
        <v/>
      </c>
      <c r="ME4" s="94" t="str">
        <f t="shared" si="11"/>
        <v/>
      </c>
      <c r="MF4" s="94" t="str">
        <f t="shared" si="11"/>
        <v/>
      </c>
      <c r="MG4" s="94" t="str">
        <f t="shared" si="11"/>
        <v>7月</v>
      </c>
      <c r="MH4" s="94" t="str">
        <f t="shared" si="11"/>
        <v/>
      </c>
      <c r="MI4" s="94" t="str">
        <f t="shared" si="11"/>
        <v/>
      </c>
      <c r="MJ4" s="94" t="str">
        <f t="shared" si="11"/>
        <v/>
      </c>
      <c r="MK4" s="94" t="str">
        <f t="shared" si="11"/>
        <v/>
      </c>
      <c r="ML4" s="94" t="str">
        <f t="shared" si="11"/>
        <v/>
      </c>
      <c r="MM4" s="94" t="str">
        <f t="shared" si="11"/>
        <v/>
      </c>
      <c r="MN4" s="94" t="str">
        <f t="shared" si="11"/>
        <v/>
      </c>
      <c r="MO4" s="94" t="str">
        <f t="shared" si="11"/>
        <v/>
      </c>
      <c r="MP4" s="94" t="str">
        <f t="shared" si="11"/>
        <v/>
      </c>
      <c r="MQ4" s="94" t="str">
        <f t="shared" si="11"/>
        <v/>
      </c>
      <c r="MR4" s="94" t="str">
        <f t="shared" si="11"/>
        <v/>
      </c>
      <c r="MS4" s="94" t="str">
        <f t="shared" si="11"/>
        <v>8月</v>
      </c>
      <c r="MT4" s="94" t="str">
        <f t="shared" si="11"/>
        <v/>
      </c>
      <c r="MU4" s="94" t="str">
        <f t="shared" si="11"/>
        <v/>
      </c>
      <c r="MV4" s="94" t="str">
        <f t="shared" si="11"/>
        <v/>
      </c>
      <c r="MW4" s="94" t="str">
        <f t="shared" si="11"/>
        <v/>
      </c>
      <c r="MX4" s="94" t="str">
        <f t="shared" si="11"/>
        <v/>
      </c>
      <c r="MY4" s="94" t="str">
        <f t="shared" si="11"/>
        <v/>
      </c>
      <c r="MZ4" s="94" t="str">
        <f t="shared" si="11"/>
        <v/>
      </c>
      <c r="NA4" s="94" t="str">
        <f t="shared" si="11"/>
        <v/>
      </c>
      <c r="NB4" s="94" t="str">
        <f t="shared" si="11"/>
        <v>8月</v>
      </c>
      <c r="NC4" s="94" t="str">
        <f t="shared" si="11"/>
        <v/>
      </c>
      <c r="ND4" s="94" t="str">
        <f t="shared" si="11"/>
        <v/>
      </c>
      <c r="NE4" s="94" t="str">
        <f t="shared" si="11"/>
        <v/>
      </c>
      <c r="NF4" s="94" t="str">
        <f t="shared" si="11"/>
        <v/>
      </c>
      <c r="NG4" s="94" t="str">
        <f t="shared" si="11"/>
        <v/>
      </c>
      <c r="NH4" s="94" t="str">
        <f t="shared" si="11"/>
        <v/>
      </c>
      <c r="NI4" s="94" t="str">
        <f t="shared" si="11"/>
        <v/>
      </c>
      <c r="NJ4" s="94" t="str">
        <f t="shared" si="11"/>
        <v/>
      </c>
      <c r="NK4" s="94" t="str">
        <f t="shared" si="11"/>
        <v/>
      </c>
      <c r="NL4" s="94" t="str">
        <f t="shared" si="11"/>
        <v>8月</v>
      </c>
      <c r="NM4" s="94" t="str">
        <f t="shared" si="11"/>
        <v/>
      </c>
      <c r="NN4" s="94" t="str">
        <f t="shared" si="11"/>
        <v/>
      </c>
      <c r="NO4" s="94" t="str">
        <f t="shared" si="11"/>
        <v/>
      </c>
      <c r="NP4" s="94" t="str">
        <f t="shared" si="11"/>
        <v/>
      </c>
      <c r="NQ4" s="94" t="str">
        <f t="shared" si="11"/>
        <v/>
      </c>
      <c r="NR4" s="94" t="str">
        <f t="shared" si="11"/>
        <v/>
      </c>
      <c r="NS4" s="94" t="str">
        <f t="shared" si="11"/>
        <v/>
      </c>
    </row>
    <row r="5" spans="2:383" s="54" customFormat="1" ht="16" customHeight="1">
      <c r="B5" s="212" t="s">
        <v>51</v>
      </c>
      <c r="C5" s="213"/>
      <c r="D5" s="195" t="s">
        <v>2</v>
      </c>
      <c r="E5" s="197" t="s">
        <v>52</v>
      </c>
      <c r="F5" s="199" t="s">
        <v>53</v>
      </c>
      <c r="G5" s="197" t="s">
        <v>54</v>
      </c>
      <c r="H5" s="201" t="s">
        <v>55</v>
      </c>
      <c r="I5" s="201" t="s">
        <v>56</v>
      </c>
      <c r="J5" s="201" t="s">
        <v>57</v>
      </c>
      <c r="K5" s="201" t="s">
        <v>58</v>
      </c>
      <c r="L5" s="204" t="s">
        <v>59</v>
      </c>
      <c r="M5" s="206" t="s">
        <v>60</v>
      </c>
      <c r="N5" s="96"/>
      <c r="O5" s="208" t="s">
        <v>61</v>
      </c>
      <c r="P5" s="97"/>
      <c r="Q5" s="210" t="s">
        <v>62</v>
      </c>
      <c r="R5" s="98">
        <f>C4</f>
        <v>45896</v>
      </c>
      <c r="S5" s="99">
        <f t="shared" ref="S5:CD5" si="12">R5+1</f>
        <v>45897</v>
      </c>
      <c r="T5" s="100">
        <f t="shared" si="12"/>
        <v>45898</v>
      </c>
      <c r="U5" s="100">
        <f t="shared" si="12"/>
        <v>45899</v>
      </c>
      <c r="V5" s="100">
        <f t="shared" si="12"/>
        <v>45900</v>
      </c>
      <c r="W5" s="100">
        <f t="shared" si="12"/>
        <v>45901</v>
      </c>
      <c r="X5" s="100">
        <f t="shared" si="12"/>
        <v>45902</v>
      </c>
      <c r="Y5" s="100">
        <f t="shared" si="12"/>
        <v>45903</v>
      </c>
      <c r="Z5" s="100">
        <f t="shared" si="12"/>
        <v>45904</v>
      </c>
      <c r="AA5" s="100">
        <f t="shared" si="12"/>
        <v>45905</v>
      </c>
      <c r="AB5" s="100">
        <f t="shared" si="12"/>
        <v>45906</v>
      </c>
      <c r="AC5" s="100">
        <f t="shared" si="12"/>
        <v>45907</v>
      </c>
      <c r="AD5" s="100">
        <f t="shared" si="12"/>
        <v>45908</v>
      </c>
      <c r="AE5" s="100">
        <f t="shared" si="12"/>
        <v>45909</v>
      </c>
      <c r="AF5" s="100">
        <f t="shared" si="12"/>
        <v>45910</v>
      </c>
      <c r="AG5" s="100">
        <f t="shared" si="12"/>
        <v>45911</v>
      </c>
      <c r="AH5" s="100">
        <f t="shared" si="12"/>
        <v>45912</v>
      </c>
      <c r="AI5" s="100">
        <f t="shared" si="12"/>
        <v>45913</v>
      </c>
      <c r="AJ5" s="100">
        <f t="shared" si="12"/>
        <v>45914</v>
      </c>
      <c r="AK5" s="100">
        <f t="shared" si="12"/>
        <v>45915</v>
      </c>
      <c r="AL5" s="100">
        <f t="shared" si="12"/>
        <v>45916</v>
      </c>
      <c r="AM5" s="100">
        <f t="shared" si="12"/>
        <v>45917</v>
      </c>
      <c r="AN5" s="100">
        <f t="shared" si="12"/>
        <v>45918</v>
      </c>
      <c r="AO5" s="100">
        <f t="shared" si="12"/>
        <v>45919</v>
      </c>
      <c r="AP5" s="100">
        <f t="shared" si="12"/>
        <v>45920</v>
      </c>
      <c r="AQ5" s="100">
        <f t="shared" si="12"/>
        <v>45921</v>
      </c>
      <c r="AR5" s="100">
        <f t="shared" si="12"/>
        <v>45922</v>
      </c>
      <c r="AS5" s="100">
        <f t="shared" si="12"/>
        <v>45923</v>
      </c>
      <c r="AT5" s="100">
        <f t="shared" si="12"/>
        <v>45924</v>
      </c>
      <c r="AU5" s="100">
        <f t="shared" si="12"/>
        <v>45925</v>
      </c>
      <c r="AV5" s="100">
        <f t="shared" si="12"/>
        <v>45926</v>
      </c>
      <c r="AW5" s="100">
        <f t="shared" si="12"/>
        <v>45927</v>
      </c>
      <c r="AX5" s="100">
        <f t="shared" si="12"/>
        <v>45928</v>
      </c>
      <c r="AY5" s="100">
        <f t="shared" si="12"/>
        <v>45929</v>
      </c>
      <c r="AZ5" s="100">
        <f t="shared" si="12"/>
        <v>45930</v>
      </c>
      <c r="BA5" s="100">
        <f t="shared" si="12"/>
        <v>45931</v>
      </c>
      <c r="BB5" s="100">
        <f t="shared" si="12"/>
        <v>45932</v>
      </c>
      <c r="BC5" s="100">
        <f t="shared" si="12"/>
        <v>45933</v>
      </c>
      <c r="BD5" s="100">
        <f t="shared" si="12"/>
        <v>45934</v>
      </c>
      <c r="BE5" s="100">
        <f t="shared" si="12"/>
        <v>45935</v>
      </c>
      <c r="BF5" s="100">
        <f t="shared" si="12"/>
        <v>45936</v>
      </c>
      <c r="BG5" s="100">
        <f t="shared" si="12"/>
        <v>45937</v>
      </c>
      <c r="BH5" s="100">
        <f t="shared" si="12"/>
        <v>45938</v>
      </c>
      <c r="BI5" s="100">
        <f t="shared" si="12"/>
        <v>45939</v>
      </c>
      <c r="BJ5" s="100">
        <f t="shared" si="12"/>
        <v>45940</v>
      </c>
      <c r="BK5" s="100">
        <f t="shared" si="12"/>
        <v>45941</v>
      </c>
      <c r="BL5" s="100">
        <f t="shared" si="12"/>
        <v>45942</v>
      </c>
      <c r="BM5" s="100">
        <f t="shared" si="12"/>
        <v>45943</v>
      </c>
      <c r="BN5" s="100">
        <f t="shared" si="12"/>
        <v>45944</v>
      </c>
      <c r="BO5" s="100">
        <f t="shared" si="12"/>
        <v>45945</v>
      </c>
      <c r="BP5" s="100">
        <f t="shared" si="12"/>
        <v>45946</v>
      </c>
      <c r="BQ5" s="100">
        <f t="shared" si="12"/>
        <v>45947</v>
      </c>
      <c r="BR5" s="100">
        <f t="shared" si="12"/>
        <v>45948</v>
      </c>
      <c r="BS5" s="100">
        <f t="shared" si="12"/>
        <v>45949</v>
      </c>
      <c r="BT5" s="100">
        <f t="shared" si="12"/>
        <v>45950</v>
      </c>
      <c r="BU5" s="100">
        <f t="shared" si="12"/>
        <v>45951</v>
      </c>
      <c r="BV5" s="100">
        <f t="shared" si="12"/>
        <v>45952</v>
      </c>
      <c r="BW5" s="100">
        <f t="shared" si="12"/>
        <v>45953</v>
      </c>
      <c r="BX5" s="100">
        <f t="shared" si="12"/>
        <v>45954</v>
      </c>
      <c r="BY5" s="100">
        <f t="shared" si="12"/>
        <v>45955</v>
      </c>
      <c r="BZ5" s="100">
        <f t="shared" si="12"/>
        <v>45956</v>
      </c>
      <c r="CA5" s="100">
        <f t="shared" si="12"/>
        <v>45957</v>
      </c>
      <c r="CB5" s="100">
        <f t="shared" si="12"/>
        <v>45958</v>
      </c>
      <c r="CC5" s="100">
        <f t="shared" si="12"/>
        <v>45959</v>
      </c>
      <c r="CD5" s="100">
        <f t="shared" si="12"/>
        <v>45960</v>
      </c>
      <c r="CE5" s="100">
        <f t="shared" ref="CE5:EP5" si="13">CD5+1</f>
        <v>45961</v>
      </c>
      <c r="CF5" s="100">
        <f t="shared" si="13"/>
        <v>45962</v>
      </c>
      <c r="CG5" s="100">
        <f t="shared" si="13"/>
        <v>45963</v>
      </c>
      <c r="CH5" s="100">
        <f t="shared" si="13"/>
        <v>45964</v>
      </c>
      <c r="CI5" s="100">
        <f t="shared" si="13"/>
        <v>45965</v>
      </c>
      <c r="CJ5" s="100">
        <f t="shared" si="13"/>
        <v>45966</v>
      </c>
      <c r="CK5" s="100">
        <f t="shared" si="13"/>
        <v>45967</v>
      </c>
      <c r="CL5" s="100">
        <f t="shared" si="13"/>
        <v>45968</v>
      </c>
      <c r="CM5" s="100">
        <f t="shared" si="13"/>
        <v>45969</v>
      </c>
      <c r="CN5" s="100">
        <f t="shared" si="13"/>
        <v>45970</v>
      </c>
      <c r="CO5" s="100">
        <f t="shared" si="13"/>
        <v>45971</v>
      </c>
      <c r="CP5" s="100">
        <f t="shared" si="13"/>
        <v>45972</v>
      </c>
      <c r="CQ5" s="100">
        <f t="shared" si="13"/>
        <v>45973</v>
      </c>
      <c r="CR5" s="100">
        <f t="shared" si="13"/>
        <v>45974</v>
      </c>
      <c r="CS5" s="100">
        <f t="shared" si="13"/>
        <v>45975</v>
      </c>
      <c r="CT5" s="100">
        <f t="shared" si="13"/>
        <v>45976</v>
      </c>
      <c r="CU5" s="100">
        <f t="shared" si="13"/>
        <v>45977</v>
      </c>
      <c r="CV5" s="100">
        <f t="shared" si="13"/>
        <v>45978</v>
      </c>
      <c r="CW5" s="100">
        <f t="shared" si="13"/>
        <v>45979</v>
      </c>
      <c r="CX5" s="100">
        <f t="shared" si="13"/>
        <v>45980</v>
      </c>
      <c r="CY5" s="100">
        <f t="shared" si="13"/>
        <v>45981</v>
      </c>
      <c r="CZ5" s="100">
        <f t="shared" si="13"/>
        <v>45982</v>
      </c>
      <c r="DA5" s="100">
        <f t="shared" si="13"/>
        <v>45983</v>
      </c>
      <c r="DB5" s="100">
        <f t="shared" si="13"/>
        <v>45984</v>
      </c>
      <c r="DC5" s="100">
        <f t="shared" si="13"/>
        <v>45985</v>
      </c>
      <c r="DD5" s="100">
        <f t="shared" si="13"/>
        <v>45986</v>
      </c>
      <c r="DE5" s="100">
        <f t="shared" si="13"/>
        <v>45987</v>
      </c>
      <c r="DF5" s="100">
        <f t="shared" si="13"/>
        <v>45988</v>
      </c>
      <c r="DG5" s="100">
        <f t="shared" si="13"/>
        <v>45989</v>
      </c>
      <c r="DH5" s="100">
        <f t="shared" si="13"/>
        <v>45990</v>
      </c>
      <c r="DI5" s="100">
        <f t="shared" si="13"/>
        <v>45991</v>
      </c>
      <c r="DJ5" s="100">
        <f t="shared" si="13"/>
        <v>45992</v>
      </c>
      <c r="DK5" s="100">
        <f t="shared" si="13"/>
        <v>45993</v>
      </c>
      <c r="DL5" s="100">
        <f t="shared" si="13"/>
        <v>45994</v>
      </c>
      <c r="DM5" s="100">
        <f t="shared" si="13"/>
        <v>45995</v>
      </c>
      <c r="DN5" s="100">
        <f t="shared" si="13"/>
        <v>45996</v>
      </c>
      <c r="DO5" s="100">
        <f t="shared" si="13"/>
        <v>45997</v>
      </c>
      <c r="DP5" s="100">
        <f t="shared" si="13"/>
        <v>45998</v>
      </c>
      <c r="DQ5" s="100">
        <f t="shared" si="13"/>
        <v>45999</v>
      </c>
      <c r="DR5" s="100">
        <f t="shared" si="13"/>
        <v>46000</v>
      </c>
      <c r="DS5" s="100">
        <f t="shared" si="13"/>
        <v>46001</v>
      </c>
      <c r="DT5" s="100">
        <f t="shared" si="13"/>
        <v>46002</v>
      </c>
      <c r="DU5" s="100">
        <f t="shared" si="13"/>
        <v>46003</v>
      </c>
      <c r="DV5" s="100">
        <f t="shared" si="13"/>
        <v>46004</v>
      </c>
      <c r="DW5" s="100">
        <f t="shared" si="13"/>
        <v>46005</v>
      </c>
      <c r="DX5" s="100">
        <f t="shared" si="13"/>
        <v>46006</v>
      </c>
      <c r="DY5" s="100">
        <f t="shared" si="13"/>
        <v>46007</v>
      </c>
      <c r="DZ5" s="100">
        <f t="shared" si="13"/>
        <v>46008</v>
      </c>
      <c r="EA5" s="100">
        <f t="shared" si="13"/>
        <v>46009</v>
      </c>
      <c r="EB5" s="100">
        <f t="shared" si="13"/>
        <v>46010</v>
      </c>
      <c r="EC5" s="100">
        <f t="shared" si="13"/>
        <v>46011</v>
      </c>
      <c r="ED5" s="100">
        <f t="shared" si="13"/>
        <v>46012</v>
      </c>
      <c r="EE5" s="100">
        <f t="shared" si="13"/>
        <v>46013</v>
      </c>
      <c r="EF5" s="100">
        <f t="shared" si="13"/>
        <v>46014</v>
      </c>
      <c r="EG5" s="100">
        <f t="shared" si="13"/>
        <v>46015</v>
      </c>
      <c r="EH5" s="100">
        <f t="shared" si="13"/>
        <v>46016</v>
      </c>
      <c r="EI5" s="100">
        <f t="shared" si="13"/>
        <v>46017</v>
      </c>
      <c r="EJ5" s="100">
        <f t="shared" si="13"/>
        <v>46018</v>
      </c>
      <c r="EK5" s="100">
        <f t="shared" si="13"/>
        <v>46019</v>
      </c>
      <c r="EL5" s="100">
        <f t="shared" si="13"/>
        <v>46020</v>
      </c>
      <c r="EM5" s="100">
        <f t="shared" si="13"/>
        <v>46021</v>
      </c>
      <c r="EN5" s="100">
        <f t="shared" si="13"/>
        <v>46022</v>
      </c>
      <c r="EO5" s="100">
        <f t="shared" si="13"/>
        <v>46023</v>
      </c>
      <c r="EP5" s="100">
        <f t="shared" si="13"/>
        <v>46024</v>
      </c>
      <c r="EQ5" s="100">
        <f t="shared" ref="EQ5:HB5" si="14">EP5+1</f>
        <v>46025</v>
      </c>
      <c r="ER5" s="100">
        <f t="shared" si="14"/>
        <v>46026</v>
      </c>
      <c r="ES5" s="100">
        <f t="shared" si="14"/>
        <v>46027</v>
      </c>
      <c r="ET5" s="100">
        <f t="shared" si="14"/>
        <v>46028</v>
      </c>
      <c r="EU5" s="100">
        <f t="shared" si="14"/>
        <v>46029</v>
      </c>
      <c r="EV5" s="100">
        <f t="shared" si="14"/>
        <v>46030</v>
      </c>
      <c r="EW5" s="100">
        <f t="shared" si="14"/>
        <v>46031</v>
      </c>
      <c r="EX5" s="100">
        <f t="shared" si="14"/>
        <v>46032</v>
      </c>
      <c r="EY5" s="100">
        <f t="shared" si="14"/>
        <v>46033</v>
      </c>
      <c r="EZ5" s="100">
        <f t="shared" si="14"/>
        <v>46034</v>
      </c>
      <c r="FA5" s="100">
        <f t="shared" si="14"/>
        <v>46035</v>
      </c>
      <c r="FB5" s="100">
        <f t="shared" si="14"/>
        <v>46036</v>
      </c>
      <c r="FC5" s="100">
        <f t="shared" si="14"/>
        <v>46037</v>
      </c>
      <c r="FD5" s="100">
        <f t="shared" si="14"/>
        <v>46038</v>
      </c>
      <c r="FE5" s="100">
        <f t="shared" si="14"/>
        <v>46039</v>
      </c>
      <c r="FF5" s="100">
        <f t="shared" si="14"/>
        <v>46040</v>
      </c>
      <c r="FG5" s="100">
        <f t="shared" si="14"/>
        <v>46041</v>
      </c>
      <c r="FH5" s="100">
        <f t="shared" si="14"/>
        <v>46042</v>
      </c>
      <c r="FI5" s="100">
        <f t="shared" si="14"/>
        <v>46043</v>
      </c>
      <c r="FJ5" s="100">
        <f t="shared" si="14"/>
        <v>46044</v>
      </c>
      <c r="FK5" s="100">
        <f t="shared" si="14"/>
        <v>46045</v>
      </c>
      <c r="FL5" s="100">
        <f t="shared" si="14"/>
        <v>46046</v>
      </c>
      <c r="FM5" s="100">
        <f t="shared" si="14"/>
        <v>46047</v>
      </c>
      <c r="FN5" s="100">
        <f t="shared" si="14"/>
        <v>46048</v>
      </c>
      <c r="FO5" s="100">
        <f t="shared" si="14"/>
        <v>46049</v>
      </c>
      <c r="FP5" s="100">
        <f t="shared" si="14"/>
        <v>46050</v>
      </c>
      <c r="FQ5" s="100">
        <f t="shared" si="14"/>
        <v>46051</v>
      </c>
      <c r="FR5" s="100">
        <f t="shared" si="14"/>
        <v>46052</v>
      </c>
      <c r="FS5" s="100">
        <f t="shared" si="14"/>
        <v>46053</v>
      </c>
      <c r="FT5" s="100">
        <f t="shared" si="14"/>
        <v>46054</v>
      </c>
      <c r="FU5" s="100">
        <f t="shared" si="14"/>
        <v>46055</v>
      </c>
      <c r="FV5" s="100">
        <f t="shared" si="14"/>
        <v>46056</v>
      </c>
      <c r="FW5" s="100">
        <f t="shared" si="14"/>
        <v>46057</v>
      </c>
      <c r="FX5" s="100">
        <f t="shared" si="14"/>
        <v>46058</v>
      </c>
      <c r="FY5" s="100">
        <f t="shared" si="14"/>
        <v>46059</v>
      </c>
      <c r="FZ5" s="100">
        <f t="shared" si="14"/>
        <v>46060</v>
      </c>
      <c r="GA5" s="100">
        <f t="shared" si="14"/>
        <v>46061</v>
      </c>
      <c r="GB5" s="100">
        <f t="shared" si="14"/>
        <v>46062</v>
      </c>
      <c r="GC5" s="100">
        <f t="shared" si="14"/>
        <v>46063</v>
      </c>
      <c r="GD5" s="100">
        <f t="shared" si="14"/>
        <v>46064</v>
      </c>
      <c r="GE5" s="100">
        <f t="shared" si="14"/>
        <v>46065</v>
      </c>
      <c r="GF5" s="100">
        <f t="shared" si="14"/>
        <v>46066</v>
      </c>
      <c r="GG5" s="100">
        <f t="shared" si="14"/>
        <v>46067</v>
      </c>
      <c r="GH5" s="100">
        <f t="shared" si="14"/>
        <v>46068</v>
      </c>
      <c r="GI5" s="100">
        <f t="shared" si="14"/>
        <v>46069</v>
      </c>
      <c r="GJ5" s="100">
        <f t="shared" si="14"/>
        <v>46070</v>
      </c>
      <c r="GK5" s="100">
        <f t="shared" si="14"/>
        <v>46071</v>
      </c>
      <c r="GL5" s="100">
        <f t="shared" si="14"/>
        <v>46072</v>
      </c>
      <c r="GM5" s="100">
        <f t="shared" si="14"/>
        <v>46073</v>
      </c>
      <c r="GN5" s="100">
        <f t="shared" si="14"/>
        <v>46074</v>
      </c>
      <c r="GO5" s="100">
        <f t="shared" si="14"/>
        <v>46075</v>
      </c>
      <c r="GP5" s="100">
        <f t="shared" si="14"/>
        <v>46076</v>
      </c>
      <c r="GQ5" s="100">
        <f t="shared" si="14"/>
        <v>46077</v>
      </c>
      <c r="GR5" s="100">
        <f t="shared" si="14"/>
        <v>46078</v>
      </c>
      <c r="GS5" s="100">
        <f t="shared" si="14"/>
        <v>46079</v>
      </c>
      <c r="GT5" s="100">
        <f t="shared" si="14"/>
        <v>46080</v>
      </c>
      <c r="GU5" s="100">
        <f t="shared" si="14"/>
        <v>46081</v>
      </c>
      <c r="GV5" s="100">
        <f t="shared" si="14"/>
        <v>46082</v>
      </c>
      <c r="GW5" s="100">
        <f t="shared" si="14"/>
        <v>46083</v>
      </c>
      <c r="GX5" s="100">
        <f t="shared" si="14"/>
        <v>46084</v>
      </c>
      <c r="GY5" s="100">
        <f t="shared" si="14"/>
        <v>46085</v>
      </c>
      <c r="GZ5" s="100">
        <f t="shared" si="14"/>
        <v>46086</v>
      </c>
      <c r="HA5" s="100">
        <f t="shared" si="14"/>
        <v>46087</v>
      </c>
      <c r="HB5" s="100">
        <f t="shared" si="14"/>
        <v>46088</v>
      </c>
      <c r="HC5" s="100">
        <f t="shared" ref="HC5:JN5" si="15">HB5+1</f>
        <v>46089</v>
      </c>
      <c r="HD5" s="100">
        <f t="shared" si="15"/>
        <v>46090</v>
      </c>
      <c r="HE5" s="100">
        <f t="shared" si="15"/>
        <v>46091</v>
      </c>
      <c r="HF5" s="100">
        <f t="shared" si="15"/>
        <v>46092</v>
      </c>
      <c r="HG5" s="100">
        <f t="shared" si="15"/>
        <v>46093</v>
      </c>
      <c r="HH5" s="100">
        <f t="shared" si="15"/>
        <v>46094</v>
      </c>
      <c r="HI5" s="100">
        <f t="shared" si="15"/>
        <v>46095</v>
      </c>
      <c r="HJ5" s="100">
        <f t="shared" si="15"/>
        <v>46096</v>
      </c>
      <c r="HK5" s="100">
        <f t="shared" si="15"/>
        <v>46097</v>
      </c>
      <c r="HL5" s="100">
        <f t="shared" si="15"/>
        <v>46098</v>
      </c>
      <c r="HM5" s="100">
        <f t="shared" si="15"/>
        <v>46099</v>
      </c>
      <c r="HN5" s="100">
        <f t="shared" si="15"/>
        <v>46100</v>
      </c>
      <c r="HO5" s="100">
        <f t="shared" si="15"/>
        <v>46101</v>
      </c>
      <c r="HP5" s="100">
        <f t="shared" si="15"/>
        <v>46102</v>
      </c>
      <c r="HQ5" s="100">
        <f t="shared" si="15"/>
        <v>46103</v>
      </c>
      <c r="HR5" s="100">
        <f t="shared" si="15"/>
        <v>46104</v>
      </c>
      <c r="HS5" s="100">
        <f t="shared" si="15"/>
        <v>46105</v>
      </c>
      <c r="HT5" s="100">
        <f t="shared" si="15"/>
        <v>46106</v>
      </c>
      <c r="HU5" s="100">
        <f t="shared" si="15"/>
        <v>46107</v>
      </c>
      <c r="HV5" s="100">
        <f t="shared" si="15"/>
        <v>46108</v>
      </c>
      <c r="HW5" s="100">
        <f t="shared" si="15"/>
        <v>46109</v>
      </c>
      <c r="HX5" s="100">
        <f t="shared" si="15"/>
        <v>46110</v>
      </c>
      <c r="HY5" s="100">
        <f t="shared" si="15"/>
        <v>46111</v>
      </c>
      <c r="HZ5" s="100">
        <f t="shared" si="15"/>
        <v>46112</v>
      </c>
      <c r="IA5" s="100">
        <f t="shared" si="15"/>
        <v>46113</v>
      </c>
      <c r="IB5" s="100">
        <f t="shared" si="15"/>
        <v>46114</v>
      </c>
      <c r="IC5" s="100">
        <f t="shared" si="15"/>
        <v>46115</v>
      </c>
      <c r="ID5" s="100">
        <f t="shared" si="15"/>
        <v>46116</v>
      </c>
      <c r="IE5" s="100">
        <f t="shared" si="15"/>
        <v>46117</v>
      </c>
      <c r="IF5" s="100">
        <f t="shared" si="15"/>
        <v>46118</v>
      </c>
      <c r="IG5" s="100">
        <f t="shared" si="15"/>
        <v>46119</v>
      </c>
      <c r="IH5" s="100">
        <f t="shared" si="15"/>
        <v>46120</v>
      </c>
      <c r="II5" s="100">
        <f t="shared" si="15"/>
        <v>46121</v>
      </c>
      <c r="IJ5" s="100">
        <f t="shared" si="15"/>
        <v>46122</v>
      </c>
      <c r="IK5" s="100">
        <f t="shared" si="15"/>
        <v>46123</v>
      </c>
      <c r="IL5" s="100">
        <f t="shared" si="15"/>
        <v>46124</v>
      </c>
      <c r="IM5" s="100">
        <f t="shared" si="15"/>
        <v>46125</v>
      </c>
      <c r="IN5" s="100">
        <f t="shared" si="15"/>
        <v>46126</v>
      </c>
      <c r="IO5" s="100">
        <f t="shared" si="15"/>
        <v>46127</v>
      </c>
      <c r="IP5" s="100">
        <f t="shared" si="15"/>
        <v>46128</v>
      </c>
      <c r="IQ5" s="100">
        <f t="shared" si="15"/>
        <v>46129</v>
      </c>
      <c r="IR5" s="100">
        <f t="shared" si="15"/>
        <v>46130</v>
      </c>
      <c r="IS5" s="100">
        <f t="shared" si="15"/>
        <v>46131</v>
      </c>
      <c r="IT5" s="100">
        <f t="shared" si="15"/>
        <v>46132</v>
      </c>
      <c r="IU5" s="100">
        <f t="shared" si="15"/>
        <v>46133</v>
      </c>
      <c r="IV5" s="100">
        <f t="shared" si="15"/>
        <v>46134</v>
      </c>
      <c r="IW5" s="100">
        <f t="shared" si="15"/>
        <v>46135</v>
      </c>
      <c r="IX5" s="100">
        <f t="shared" si="15"/>
        <v>46136</v>
      </c>
      <c r="IY5" s="100">
        <f t="shared" si="15"/>
        <v>46137</v>
      </c>
      <c r="IZ5" s="100">
        <f t="shared" si="15"/>
        <v>46138</v>
      </c>
      <c r="JA5" s="100">
        <f t="shared" si="15"/>
        <v>46139</v>
      </c>
      <c r="JB5" s="100">
        <f t="shared" si="15"/>
        <v>46140</v>
      </c>
      <c r="JC5" s="100">
        <f t="shared" si="15"/>
        <v>46141</v>
      </c>
      <c r="JD5" s="100">
        <f t="shared" si="15"/>
        <v>46142</v>
      </c>
      <c r="JE5" s="100">
        <f t="shared" si="15"/>
        <v>46143</v>
      </c>
      <c r="JF5" s="100">
        <f t="shared" si="15"/>
        <v>46144</v>
      </c>
      <c r="JG5" s="100">
        <f t="shared" si="15"/>
        <v>46145</v>
      </c>
      <c r="JH5" s="100">
        <f t="shared" si="15"/>
        <v>46146</v>
      </c>
      <c r="JI5" s="100">
        <f t="shared" si="15"/>
        <v>46147</v>
      </c>
      <c r="JJ5" s="100">
        <f t="shared" si="15"/>
        <v>46148</v>
      </c>
      <c r="JK5" s="100">
        <f t="shared" si="15"/>
        <v>46149</v>
      </c>
      <c r="JL5" s="100">
        <f t="shared" si="15"/>
        <v>46150</v>
      </c>
      <c r="JM5" s="100">
        <f t="shared" si="15"/>
        <v>46151</v>
      </c>
      <c r="JN5" s="100">
        <f t="shared" si="15"/>
        <v>46152</v>
      </c>
      <c r="JO5" s="100">
        <f t="shared" ref="JO5:LZ5" si="16">JN5+1</f>
        <v>46153</v>
      </c>
      <c r="JP5" s="100">
        <f t="shared" si="16"/>
        <v>46154</v>
      </c>
      <c r="JQ5" s="100">
        <f t="shared" si="16"/>
        <v>46155</v>
      </c>
      <c r="JR5" s="100">
        <f t="shared" si="16"/>
        <v>46156</v>
      </c>
      <c r="JS5" s="100">
        <f t="shared" si="16"/>
        <v>46157</v>
      </c>
      <c r="JT5" s="100">
        <f t="shared" si="16"/>
        <v>46158</v>
      </c>
      <c r="JU5" s="100">
        <f t="shared" si="16"/>
        <v>46159</v>
      </c>
      <c r="JV5" s="100">
        <f t="shared" si="16"/>
        <v>46160</v>
      </c>
      <c r="JW5" s="100">
        <f t="shared" si="16"/>
        <v>46161</v>
      </c>
      <c r="JX5" s="100">
        <f t="shared" si="16"/>
        <v>46162</v>
      </c>
      <c r="JY5" s="100">
        <f t="shared" si="16"/>
        <v>46163</v>
      </c>
      <c r="JZ5" s="100">
        <f t="shared" si="16"/>
        <v>46164</v>
      </c>
      <c r="KA5" s="100">
        <f t="shared" si="16"/>
        <v>46165</v>
      </c>
      <c r="KB5" s="100">
        <f t="shared" si="16"/>
        <v>46166</v>
      </c>
      <c r="KC5" s="100">
        <f t="shared" si="16"/>
        <v>46167</v>
      </c>
      <c r="KD5" s="100">
        <f t="shared" si="16"/>
        <v>46168</v>
      </c>
      <c r="KE5" s="100">
        <f t="shared" si="16"/>
        <v>46169</v>
      </c>
      <c r="KF5" s="100">
        <f t="shared" si="16"/>
        <v>46170</v>
      </c>
      <c r="KG5" s="100">
        <f t="shared" si="16"/>
        <v>46171</v>
      </c>
      <c r="KH5" s="100">
        <f t="shared" si="16"/>
        <v>46172</v>
      </c>
      <c r="KI5" s="100">
        <f t="shared" si="16"/>
        <v>46173</v>
      </c>
      <c r="KJ5" s="100">
        <f t="shared" si="16"/>
        <v>46174</v>
      </c>
      <c r="KK5" s="100">
        <f t="shared" si="16"/>
        <v>46175</v>
      </c>
      <c r="KL5" s="100">
        <f t="shared" si="16"/>
        <v>46176</v>
      </c>
      <c r="KM5" s="100">
        <f t="shared" si="16"/>
        <v>46177</v>
      </c>
      <c r="KN5" s="100">
        <f t="shared" si="16"/>
        <v>46178</v>
      </c>
      <c r="KO5" s="100">
        <f t="shared" si="16"/>
        <v>46179</v>
      </c>
      <c r="KP5" s="100">
        <f t="shared" si="16"/>
        <v>46180</v>
      </c>
      <c r="KQ5" s="100">
        <f t="shared" si="16"/>
        <v>46181</v>
      </c>
      <c r="KR5" s="100">
        <f t="shared" si="16"/>
        <v>46182</v>
      </c>
      <c r="KS5" s="100">
        <f t="shared" si="16"/>
        <v>46183</v>
      </c>
      <c r="KT5" s="100">
        <f t="shared" si="16"/>
        <v>46184</v>
      </c>
      <c r="KU5" s="100">
        <f t="shared" si="16"/>
        <v>46185</v>
      </c>
      <c r="KV5" s="100">
        <f t="shared" si="16"/>
        <v>46186</v>
      </c>
      <c r="KW5" s="100">
        <f t="shared" si="16"/>
        <v>46187</v>
      </c>
      <c r="KX5" s="100">
        <f t="shared" si="16"/>
        <v>46188</v>
      </c>
      <c r="KY5" s="100">
        <f t="shared" si="16"/>
        <v>46189</v>
      </c>
      <c r="KZ5" s="100">
        <f t="shared" si="16"/>
        <v>46190</v>
      </c>
      <c r="LA5" s="100">
        <f t="shared" si="16"/>
        <v>46191</v>
      </c>
      <c r="LB5" s="100">
        <f t="shared" si="16"/>
        <v>46192</v>
      </c>
      <c r="LC5" s="100">
        <f t="shared" si="16"/>
        <v>46193</v>
      </c>
      <c r="LD5" s="100">
        <f t="shared" si="16"/>
        <v>46194</v>
      </c>
      <c r="LE5" s="100">
        <f t="shared" si="16"/>
        <v>46195</v>
      </c>
      <c r="LF5" s="100">
        <f t="shared" si="16"/>
        <v>46196</v>
      </c>
      <c r="LG5" s="100">
        <f t="shared" si="16"/>
        <v>46197</v>
      </c>
      <c r="LH5" s="100">
        <f t="shared" si="16"/>
        <v>46198</v>
      </c>
      <c r="LI5" s="100">
        <f t="shared" si="16"/>
        <v>46199</v>
      </c>
      <c r="LJ5" s="100">
        <f t="shared" si="16"/>
        <v>46200</v>
      </c>
      <c r="LK5" s="100">
        <f t="shared" si="16"/>
        <v>46201</v>
      </c>
      <c r="LL5" s="100">
        <f t="shared" si="16"/>
        <v>46202</v>
      </c>
      <c r="LM5" s="100">
        <f t="shared" si="16"/>
        <v>46203</v>
      </c>
      <c r="LN5" s="100">
        <f t="shared" si="16"/>
        <v>46204</v>
      </c>
      <c r="LO5" s="100">
        <f t="shared" si="16"/>
        <v>46205</v>
      </c>
      <c r="LP5" s="100">
        <f t="shared" si="16"/>
        <v>46206</v>
      </c>
      <c r="LQ5" s="100">
        <f t="shared" si="16"/>
        <v>46207</v>
      </c>
      <c r="LR5" s="100">
        <f t="shared" si="16"/>
        <v>46208</v>
      </c>
      <c r="LS5" s="100">
        <f t="shared" si="16"/>
        <v>46209</v>
      </c>
      <c r="LT5" s="100">
        <f t="shared" si="16"/>
        <v>46210</v>
      </c>
      <c r="LU5" s="100">
        <f t="shared" si="16"/>
        <v>46211</v>
      </c>
      <c r="LV5" s="100">
        <f t="shared" si="16"/>
        <v>46212</v>
      </c>
      <c r="LW5" s="100">
        <f t="shared" si="16"/>
        <v>46213</v>
      </c>
      <c r="LX5" s="100">
        <f t="shared" si="16"/>
        <v>46214</v>
      </c>
      <c r="LY5" s="100">
        <f t="shared" si="16"/>
        <v>46215</v>
      </c>
      <c r="LZ5" s="100">
        <f t="shared" si="16"/>
        <v>46216</v>
      </c>
      <c r="MA5" s="100">
        <f t="shared" ref="MA5:NS5" si="17">LZ5+1</f>
        <v>46217</v>
      </c>
      <c r="MB5" s="100">
        <f t="shared" si="17"/>
        <v>46218</v>
      </c>
      <c r="MC5" s="100">
        <f t="shared" si="17"/>
        <v>46219</v>
      </c>
      <c r="MD5" s="100">
        <f t="shared" si="17"/>
        <v>46220</v>
      </c>
      <c r="ME5" s="100">
        <f t="shared" si="17"/>
        <v>46221</v>
      </c>
      <c r="MF5" s="100">
        <f t="shared" si="17"/>
        <v>46222</v>
      </c>
      <c r="MG5" s="100">
        <f t="shared" si="17"/>
        <v>46223</v>
      </c>
      <c r="MH5" s="100">
        <f t="shared" si="17"/>
        <v>46224</v>
      </c>
      <c r="MI5" s="100">
        <f t="shared" si="17"/>
        <v>46225</v>
      </c>
      <c r="MJ5" s="100">
        <f t="shared" si="17"/>
        <v>46226</v>
      </c>
      <c r="MK5" s="100">
        <f t="shared" si="17"/>
        <v>46227</v>
      </c>
      <c r="ML5" s="100">
        <f t="shared" si="17"/>
        <v>46228</v>
      </c>
      <c r="MM5" s="100">
        <f t="shared" si="17"/>
        <v>46229</v>
      </c>
      <c r="MN5" s="100">
        <f t="shared" si="17"/>
        <v>46230</v>
      </c>
      <c r="MO5" s="100">
        <f t="shared" si="17"/>
        <v>46231</v>
      </c>
      <c r="MP5" s="100">
        <f t="shared" si="17"/>
        <v>46232</v>
      </c>
      <c r="MQ5" s="100">
        <f t="shared" si="17"/>
        <v>46233</v>
      </c>
      <c r="MR5" s="100">
        <f t="shared" si="17"/>
        <v>46234</v>
      </c>
      <c r="MS5" s="100">
        <f t="shared" si="17"/>
        <v>46235</v>
      </c>
      <c r="MT5" s="100">
        <f t="shared" si="17"/>
        <v>46236</v>
      </c>
      <c r="MU5" s="100">
        <f t="shared" si="17"/>
        <v>46237</v>
      </c>
      <c r="MV5" s="100">
        <f t="shared" si="17"/>
        <v>46238</v>
      </c>
      <c r="MW5" s="100">
        <f t="shared" si="17"/>
        <v>46239</v>
      </c>
      <c r="MX5" s="100">
        <f t="shared" si="17"/>
        <v>46240</v>
      </c>
      <c r="MY5" s="100">
        <f t="shared" si="17"/>
        <v>46241</v>
      </c>
      <c r="MZ5" s="100">
        <f t="shared" si="17"/>
        <v>46242</v>
      </c>
      <c r="NA5" s="100">
        <f t="shared" si="17"/>
        <v>46243</v>
      </c>
      <c r="NB5" s="100">
        <f t="shared" si="17"/>
        <v>46244</v>
      </c>
      <c r="NC5" s="100">
        <f t="shared" si="17"/>
        <v>46245</v>
      </c>
      <c r="ND5" s="100">
        <f t="shared" si="17"/>
        <v>46246</v>
      </c>
      <c r="NE5" s="100">
        <f t="shared" si="17"/>
        <v>46247</v>
      </c>
      <c r="NF5" s="100">
        <f t="shared" si="17"/>
        <v>46248</v>
      </c>
      <c r="NG5" s="100">
        <f t="shared" si="17"/>
        <v>46249</v>
      </c>
      <c r="NH5" s="100">
        <f t="shared" si="17"/>
        <v>46250</v>
      </c>
      <c r="NI5" s="100">
        <f t="shared" si="17"/>
        <v>46251</v>
      </c>
      <c r="NJ5" s="100">
        <f t="shared" si="17"/>
        <v>46252</v>
      </c>
      <c r="NK5" s="100">
        <f t="shared" si="17"/>
        <v>46253</v>
      </c>
      <c r="NL5" s="100">
        <f t="shared" si="17"/>
        <v>46254</v>
      </c>
      <c r="NM5" s="100">
        <f t="shared" si="17"/>
        <v>46255</v>
      </c>
      <c r="NN5" s="100">
        <f t="shared" si="17"/>
        <v>46256</v>
      </c>
      <c r="NO5" s="100">
        <f t="shared" si="17"/>
        <v>46257</v>
      </c>
      <c r="NP5" s="100">
        <f t="shared" si="17"/>
        <v>46258</v>
      </c>
      <c r="NQ5" s="100">
        <f t="shared" si="17"/>
        <v>46259</v>
      </c>
      <c r="NR5" s="100">
        <f t="shared" si="17"/>
        <v>46260</v>
      </c>
      <c r="NS5" s="100">
        <f t="shared" si="17"/>
        <v>46261</v>
      </c>
    </row>
    <row r="6" spans="2:383" s="55" customFormat="1" ht="16" customHeight="1">
      <c r="B6" s="214"/>
      <c r="C6" s="215"/>
      <c r="D6" s="196"/>
      <c r="E6" s="198"/>
      <c r="F6" s="200"/>
      <c r="G6" s="198"/>
      <c r="H6" s="202"/>
      <c r="I6" s="203"/>
      <c r="J6" s="203"/>
      <c r="K6" s="203"/>
      <c r="L6" s="205"/>
      <c r="M6" s="207"/>
      <c r="N6" s="101"/>
      <c r="O6" s="209"/>
      <c r="P6" s="102"/>
      <c r="Q6" s="211"/>
      <c r="R6" s="103" t="str">
        <f t="shared" ref="R6:CC6" si="18">TEXT(R5,"aaa")</f>
        <v>三</v>
      </c>
      <c r="S6" s="104" t="str">
        <f t="shared" si="18"/>
        <v>四</v>
      </c>
      <c r="T6" s="103" t="str">
        <f t="shared" si="18"/>
        <v>五</v>
      </c>
      <c r="U6" s="103" t="str">
        <f t="shared" si="18"/>
        <v>六</v>
      </c>
      <c r="V6" s="103" t="str">
        <f t="shared" si="18"/>
        <v>日</v>
      </c>
      <c r="W6" s="103" t="str">
        <f t="shared" si="18"/>
        <v>一</v>
      </c>
      <c r="X6" s="103" t="str">
        <f t="shared" si="18"/>
        <v>二</v>
      </c>
      <c r="Y6" s="103" t="str">
        <f t="shared" si="18"/>
        <v>三</v>
      </c>
      <c r="Z6" s="103" t="str">
        <f t="shared" si="18"/>
        <v>四</v>
      </c>
      <c r="AA6" s="103" t="str">
        <f t="shared" si="18"/>
        <v>五</v>
      </c>
      <c r="AB6" s="103" t="str">
        <f t="shared" si="18"/>
        <v>六</v>
      </c>
      <c r="AC6" s="103" t="str">
        <f t="shared" si="18"/>
        <v>日</v>
      </c>
      <c r="AD6" s="103" t="str">
        <f t="shared" si="18"/>
        <v>一</v>
      </c>
      <c r="AE6" s="103" t="str">
        <f t="shared" si="18"/>
        <v>二</v>
      </c>
      <c r="AF6" s="103" t="str">
        <f t="shared" si="18"/>
        <v>三</v>
      </c>
      <c r="AG6" s="103" t="str">
        <f t="shared" si="18"/>
        <v>四</v>
      </c>
      <c r="AH6" s="103" t="str">
        <f t="shared" si="18"/>
        <v>五</v>
      </c>
      <c r="AI6" s="103" t="str">
        <f t="shared" si="18"/>
        <v>六</v>
      </c>
      <c r="AJ6" s="103" t="str">
        <f t="shared" si="18"/>
        <v>日</v>
      </c>
      <c r="AK6" s="103" t="str">
        <f t="shared" si="18"/>
        <v>一</v>
      </c>
      <c r="AL6" s="103" t="str">
        <f t="shared" si="18"/>
        <v>二</v>
      </c>
      <c r="AM6" s="103" t="str">
        <f t="shared" si="18"/>
        <v>三</v>
      </c>
      <c r="AN6" s="103" t="str">
        <f t="shared" si="18"/>
        <v>四</v>
      </c>
      <c r="AO6" s="103" t="str">
        <f t="shared" si="18"/>
        <v>五</v>
      </c>
      <c r="AP6" s="103" t="str">
        <f t="shared" si="18"/>
        <v>六</v>
      </c>
      <c r="AQ6" s="103" t="str">
        <f t="shared" si="18"/>
        <v>日</v>
      </c>
      <c r="AR6" s="103" t="str">
        <f t="shared" si="18"/>
        <v>一</v>
      </c>
      <c r="AS6" s="103" t="str">
        <f t="shared" si="18"/>
        <v>二</v>
      </c>
      <c r="AT6" s="103" t="str">
        <f t="shared" si="18"/>
        <v>三</v>
      </c>
      <c r="AU6" s="103" t="str">
        <f t="shared" si="18"/>
        <v>四</v>
      </c>
      <c r="AV6" s="103" t="str">
        <f t="shared" si="18"/>
        <v>五</v>
      </c>
      <c r="AW6" s="103" t="str">
        <f t="shared" si="18"/>
        <v>六</v>
      </c>
      <c r="AX6" s="103" t="str">
        <f t="shared" si="18"/>
        <v>日</v>
      </c>
      <c r="AY6" s="103" t="str">
        <f t="shared" si="18"/>
        <v>一</v>
      </c>
      <c r="AZ6" s="103" t="str">
        <f t="shared" si="18"/>
        <v>二</v>
      </c>
      <c r="BA6" s="103" t="str">
        <f t="shared" si="18"/>
        <v>三</v>
      </c>
      <c r="BB6" s="103" t="str">
        <f t="shared" si="18"/>
        <v>四</v>
      </c>
      <c r="BC6" s="103" t="str">
        <f t="shared" si="18"/>
        <v>五</v>
      </c>
      <c r="BD6" s="103" t="str">
        <f t="shared" si="18"/>
        <v>六</v>
      </c>
      <c r="BE6" s="103" t="str">
        <f t="shared" si="18"/>
        <v>日</v>
      </c>
      <c r="BF6" s="103" t="str">
        <f t="shared" si="18"/>
        <v>一</v>
      </c>
      <c r="BG6" s="103" t="str">
        <f t="shared" si="18"/>
        <v>二</v>
      </c>
      <c r="BH6" s="103" t="str">
        <f t="shared" si="18"/>
        <v>三</v>
      </c>
      <c r="BI6" s="103" t="str">
        <f t="shared" si="18"/>
        <v>四</v>
      </c>
      <c r="BJ6" s="103" t="str">
        <f t="shared" si="18"/>
        <v>五</v>
      </c>
      <c r="BK6" s="103" t="str">
        <f t="shared" si="18"/>
        <v>六</v>
      </c>
      <c r="BL6" s="103" t="str">
        <f t="shared" si="18"/>
        <v>日</v>
      </c>
      <c r="BM6" s="103" t="str">
        <f t="shared" si="18"/>
        <v>一</v>
      </c>
      <c r="BN6" s="103" t="str">
        <f t="shared" si="18"/>
        <v>二</v>
      </c>
      <c r="BO6" s="103" t="str">
        <f t="shared" si="18"/>
        <v>三</v>
      </c>
      <c r="BP6" s="103" t="str">
        <f t="shared" si="18"/>
        <v>四</v>
      </c>
      <c r="BQ6" s="103" t="str">
        <f t="shared" si="18"/>
        <v>五</v>
      </c>
      <c r="BR6" s="103" t="str">
        <f t="shared" si="18"/>
        <v>六</v>
      </c>
      <c r="BS6" s="103" t="str">
        <f t="shared" si="18"/>
        <v>日</v>
      </c>
      <c r="BT6" s="103" t="str">
        <f t="shared" si="18"/>
        <v>一</v>
      </c>
      <c r="BU6" s="103" t="str">
        <f t="shared" si="18"/>
        <v>二</v>
      </c>
      <c r="BV6" s="103" t="str">
        <f t="shared" si="18"/>
        <v>三</v>
      </c>
      <c r="BW6" s="103" t="str">
        <f t="shared" si="18"/>
        <v>四</v>
      </c>
      <c r="BX6" s="103" t="str">
        <f t="shared" si="18"/>
        <v>五</v>
      </c>
      <c r="BY6" s="103" t="str">
        <f t="shared" si="18"/>
        <v>六</v>
      </c>
      <c r="BZ6" s="103" t="str">
        <f t="shared" si="18"/>
        <v>日</v>
      </c>
      <c r="CA6" s="103" t="str">
        <f t="shared" si="18"/>
        <v>一</v>
      </c>
      <c r="CB6" s="103" t="str">
        <f t="shared" si="18"/>
        <v>二</v>
      </c>
      <c r="CC6" s="103" t="str">
        <f t="shared" si="18"/>
        <v>三</v>
      </c>
      <c r="CD6" s="103" t="str">
        <f t="shared" ref="CD6:EO6" si="19">TEXT(CD5,"aaa")</f>
        <v>四</v>
      </c>
      <c r="CE6" s="103" t="str">
        <f t="shared" si="19"/>
        <v>五</v>
      </c>
      <c r="CF6" s="103" t="str">
        <f t="shared" si="19"/>
        <v>六</v>
      </c>
      <c r="CG6" s="103" t="str">
        <f t="shared" si="19"/>
        <v>日</v>
      </c>
      <c r="CH6" s="103" t="str">
        <f t="shared" si="19"/>
        <v>一</v>
      </c>
      <c r="CI6" s="103" t="str">
        <f t="shared" si="19"/>
        <v>二</v>
      </c>
      <c r="CJ6" s="103" t="str">
        <f t="shared" si="19"/>
        <v>三</v>
      </c>
      <c r="CK6" s="103" t="str">
        <f t="shared" si="19"/>
        <v>四</v>
      </c>
      <c r="CL6" s="103" t="str">
        <f t="shared" si="19"/>
        <v>五</v>
      </c>
      <c r="CM6" s="103" t="str">
        <f t="shared" si="19"/>
        <v>六</v>
      </c>
      <c r="CN6" s="103" t="str">
        <f t="shared" si="19"/>
        <v>日</v>
      </c>
      <c r="CO6" s="103" t="str">
        <f t="shared" si="19"/>
        <v>一</v>
      </c>
      <c r="CP6" s="103" t="str">
        <f t="shared" si="19"/>
        <v>二</v>
      </c>
      <c r="CQ6" s="103" t="str">
        <f t="shared" si="19"/>
        <v>三</v>
      </c>
      <c r="CR6" s="103" t="str">
        <f t="shared" si="19"/>
        <v>四</v>
      </c>
      <c r="CS6" s="103" t="str">
        <f t="shared" si="19"/>
        <v>五</v>
      </c>
      <c r="CT6" s="103" t="str">
        <f t="shared" si="19"/>
        <v>六</v>
      </c>
      <c r="CU6" s="103" t="str">
        <f t="shared" si="19"/>
        <v>日</v>
      </c>
      <c r="CV6" s="103" t="str">
        <f t="shared" si="19"/>
        <v>一</v>
      </c>
      <c r="CW6" s="103" t="str">
        <f t="shared" si="19"/>
        <v>二</v>
      </c>
      <c r="CX6" s="103" t="str">
        <f t="shared" si="19"/>
        <v>三</v>
      </c>
      <c r="CY6" s="103" t="str">
        <f t="shared" si="19"/>
        <v>四</v>
      </c>
      <c r="CZ6" s="103" t="str">
        <f t="shared" si="19"/>
        <v>五</v>
      </c>
      <c r="DA6" s="103" t="str">
        <f t="shared" si="19"/>
        <v>六</v>
      </c>
      <c r="DB6" s="103" t="str">
        <f t="shared" si="19"/>
        <v>日</v>
      </c>
      <c r="DC6" s="103" t="str">
        <f t="shared" si="19"/>
        <v>一</v>
      </c>
      <c r="DD6" s="103" t="str">
        <f t="shared" si="19"/>
        <v>二</v>
      </c>
      <c r="DE6" s="103" t="str">
        <f t="shared" si="19"/>
        <v>三</v>
      </c>
      <c r="DF6" s="103" t="str">
        <f t="shared" si="19"/>
        <v>四</v>
      </c>
      <c r="DG6" s="103" t="str">
        <f t="shared" si="19"/>
        <v>五</v>
      </c>
      <c r="DH6" s="103" t="str">
        <f t="shared" si="19"/>
        <v>六</v>
      </c>
      <c r="DI6" s="103" t="str">
        <f t="shared" si="19"/>
        <v>日</v>
      </c>
      <c r="DJ6" s="103" t="str">
        <f t="shared" si="19"/>
        <v>一</v>
      </c>
      <c r="DK6" s="103" t="str">
        <f t="shared" si="19"/>
        <v>二</v>
      </c>
      <c r="DL6" s="103" t="str">
        <f t="shared" si="19"/>
        <v>三</v>
      </c>
      <c r="DM6" s="103" t="str">
        <f t="shared" si="19"/>
        <v>四</v>
      </c>
      <c r="DN6" s="103" t="str">
        <f t="shared" si="19"/>
        <v>五</v>
      </c>
      <c r="DO6" s="103" t="str">
        <f t="shared" si="19"/>
        <v>六</v>
      </c>
      <c r="DP6" s="103" t="str">
        <f t="shared" si="19"/>
        <v>日</v>
      </c>
      <c r="DQ6" s="103" t="str">
        <f t="shared" si="19"/>
        <v>一</v>
      </c>
      <c r="DR6" s="103" t="str">
        <f t="shared" si="19"/>
        <v>二</v>
      </c>
      <c r="DS6" s="103" t="str">
        <f t="shared" si="19"/>
        <v>三</v>
      </c>
      <c r="DT6" s="103" t="str">
        <f t="shared" si="19"/>
        <v>四</v>
      </c>
      <c r="DU6" s="103" t="str">
        <f t="shared" si="19"/>
        <v>五</v>
      </c>
      <c r="DV6" s="103" t="str">
        <f t="shared" si="19"/>
        <v>六</v>
      </c>
      <c r="DW6" s="103" t="str">
        <f t="shared" si="19"/>
        <v>日</v>
      </c>
      <c r="DX6" s="103" t="str">
        <f t="shared" si="19"/>
        <v>一</v>
      </c>
      <c r="DY6" s="103" t="str">
        <f t="shared" si="19"/>
        <v>二</v>
      </c>
      <c r="DZ6" s="103" t="str">
        <f t="shared" si="19"/>
        <v>三</v>
      </c>
      <c r="EA6" s="103" t="str">
        <f t="shared" si="19"/>
        <v>四</v>
      </c>
      <c r="EB6" s="103" t="str">
        <f t="shared" si="19"/>
        <v>五</v>
      </c>
      <c r="EC6" s="103" t="str">
        <f t="shared" si="19"/>
        <v>六</v>
      </c>
      <c r="ED6" s="103" t="str">
        <f t="shared" si="19"/>
        <v>日</v>
      </c>
      <c r="EE6" s="103" t="str">
        <f t="shared" si="19"/>
        <v>一</v>
      </c>
      <c r="EF6" s="103" t="str">
        <f t="shared" si="19"/>
        <v>二</v>
      </c>
      <c r="EG6" s="103" t="str">
        <f t="shared" si="19"/>
        <v>三</v>
      </c>
      <c r="EH6" s="103" t="str">
        <f t="shared" si="19"/>
        <v>四</v>
      </c>
      <c r="EI6" s="103" t="str">
        <f t="shared" si="19"/>
        <v>五</v>
      </c>
      <c r="EJ6" s="103" t="str">
        <f t="shared" si="19"/>
        <v>六</v>
      </c>
      <c r="EK6" s="103" t="str">
        <f t="shared" si="19"/>
        <v>日</v>
      </c>
      <c r="EL6" s="103" t="str">
        <f t="shared" si="19"/>
        <v>一</v>
      </c>
      <c r="EM6" s="103" t="str">
        <f t="shared" si="19"/>
        <v>二</v>
      </c>
      <c r="EN6" s="103" t="str">
        <f t="shared" si="19"/>
        <v>三</v>
      </c>
      <c r="EO6" s="103" t="str">
        <f t="shared" si="19"/>
        <v>四</v>
      </c>
      <c r="EP6" s="103" t="str">
        <f t="shared" ref="EP6:HA6" si="20">TEXT(EP5,"aaa")</f>
        <v>五</v>
      </c>
      <c r="EQ6" s="103" t="str">
        <f t="shared" si="20"/>
        <v>六</v>
      </c>
      <c r="ER6" s="103" t="str">
        <f t="shared" si="20"/>
        <v>日</v>
      </c>
      <c r="ES6" s="103" t="str">
        <f t="shared" si="20"/>
        <v>一</v>
      </c>
      <c r="ET6" s="103" t="str">
        <f t="shared" si="20"/>
        <v>二</v>
      </c>
      <c r="EU6" s="103" t="str">
        <f t="shared" si="20"/>
        <v>三</v>
      </c>
      <c r="EV6" s="103" t="str">
        <f t="shared" si="20"/>
        <v>四</v>
      </c>
      <c r="EW6" s="103" t="str">
        <f t="shared" si="20"/>
        <v>五</v>
      </c>
      <c r="EX6" s="103" t="str">
        <f t="shared" si="20"/>
        <v>六</v>
      </c>
      <c r="EY6" s="103" t="str">
        <f t="shared" si="20"/>
        <v>日</v>
      </c>
      <c r="EZ6" s="103" t="str">
        <f t="shared" si="20"/>
        <v>一</v>
      </c>
      <c r="FA6" s="103" t="str">
        <f t="shared" si="20"/>
        <v>二</v>
      </c>
      <c r="FB6" s="103" t="str">
        <f t="shared" si="20"/>
        <v>三</v>
      </c>
      <c r="FC6" s="103" t="str">
        <f t="shared" si="20"/>
        <v>四</v>
      </c>
      <c r="FD6" s="103" t="str">
        <f t="shared" si="20"/>
        <v>五</v>
      </c>
      <c r="FE6" s="103" t="str">
        <f t="shared" si="20"/>
        <v>六</v>
      </c>
      <c r="FF6" s="103" t="str">
        <f t="shared" si="20"/>
        <v>日</v>
      </c>
      <c r="FG6" s="103" t="str">
        <f t="shared" si="20"/>
        <v>一</v>
      </c>
      <c r="FH6" s="103" t="str">
        <f t="shared" si="20"/>
        <v>二</v>
      </c>
      <c r="FI6" s="103" t="str">
        <f t="shared" si="20"/>
        <v>三</v>
      </c>
      <c r="FJ6" s="103" t="str">
        <f t="shared" si="20"/>
        <v>四</v>
      </c>
      <c r="FK6" s="103" t="str">
        <f t="shared" si="20"/>
        <v>五</v>
      </c>
      <c r="FL6" s="103" t="str">
        <f t="shared" si="20"/>
        <v>六</v>
      </c>
      <c r="FM6" s="103" t="str">
        <f t="shared" si="20"/>
        <v>日</v>
      </c>
      <c r="FN6" s="103" t="str">
        <f t="shared" si="20"/>
        <v>一</v>
      </c>
      <c r="FO6" s="103" t="str">
        <f t="shared" si="20"/>
        <v>二</v>
      </c>
      <c r="FP6" s="103" t="str">
        <f t="shared" si="20"/>
        <v>三</v>
      </c>
      <c r="FQ6" s="103" t="str">
        <f t="shared" si="20"/>
        <v>四</v>
      </c>
      <c r="FR6" s="103" t="str">
        <f t="shared" si="20"/>
        <v>五</v>
      </c>
      <c r="FS6" s="103" t="str">
        <f t="shared" si="20"/>
        <v>六</v>
      </c>
      <c r="FT6" s="103" t="str">
        <f t="shared" si="20"/>
        <v>日</v>
      </c>
      <c r="FU6" s="103" t="str">
        <f t="shared" si="20"/>
        <v>一</v>
      </c>
      <c r="FV6" s="103" t="str">
        <f t="shared" si="20"/>
        <v>二</v>
      </c>
      <c r="FW6" s="103" t="str">
        <f t="shared" si="20"/>
        <v>三</v>
      </c>
      <c r="FX6" s="103" t="str">
        <f t="shared" si="20"/>
        <v>四</v>
      </c>
      <c r="FY6" s="103" t="str">
        <f t="shared" si="20"/>
        <v>五</v>
      </c>
      <c r="FZ6" s="103" t="str">
        <f t="shared" si="20"/>
        <v>六</v>
      </c>
      <c r="GA6" s="103" t="str">
        <f t="shared" si="20"/>
        <v>日</v>
      </c>
      <c r="GB6" s="103" t="str">
        <f t="shared" si="20"/>
        <v>一</v>
      </c>
      <c r="GC6" s="103" t="str">
        <f t="shared" si="20"/>
        <v>二</v>
      </c>
      <c r="GD6" s="103" t="str">
        <f t="shared" si="20"/>
        <v>三</v>
      </c>
      <c r="GE6" s="103" t="str">
        <f t="shared" si="20"/>
        <v>四</v>
      </c>
      <c r="GF6" s="103" t="str">
        <f t="shared" si="20"/>
        <v>五</v>
      </c>
      <c r="GG6" s="103" t="str">
        <f t="shared" si="20"/>
        <v>六</v>
      </c>
      <c r="GH6" s="103" t="str">
        <f t="shared" si="20"/>
        <v>日</v>
      </c>
      <c r="GI6" s="103" t="str">
        <f t="shared" si="20"/>
        <v>一</v>
      </c>
      <c r="GJ6" s="103" t="str">
        <f t="shared" si="20"/>
        <v>二</v>
      </c>
      <c r="GK6" s="103" t="str">
        <f t="shared" si="20"/>
        <v>三</v>
      </c>
      <c r="GL6" s="103" t="str">
        <f t="shared" si="20"/>
        <v>四</v>
      </c>
      <c r="GM6" s="103" t="str">
        <f t="shared" si="20"/>
        <v>五</v>
      </c>
      <c r="GN6" s="103" t="str">
        <f t="shared" si="20"/>
        <v>六</v>
      </c>
      <c r="GO6" s="103" t="str">
        <f t="shared" si="20"/>
        <v>日</v>
      </c>
      <c r="GP6" s="103" t="str">
        <f t="shared" si="20"/>
        <v>一</v>
      </c>
      <c r="GQ6" s="103" t="str">
        <f t="shared" si="20"/>
        <v>二</v>
      </c>
      <c r="GR6" s="103" t="str">
        <f t="shared" si="20"/>
        <v>三</v>
      </c>
      <c r="GS6" s="103" t="str">
        <f t="shared" si="20"/>
        <v>四</v>
      </c>
      <c r="GT6" s="103" t="str">
        <f t="shared" si="20"/>
        <v>五</v>
      </c>
      <c r="GU6" s="103" t="str">
        <f t="shared" si="20"/>
        <v>六</v>
      </c>
      <c r="GV6" s="103" t="str">
        <f t="shared" si="20"/>
        <v>日</v>
      </c>
      <c r="GW6" s="103" t="str">
        <f t="shared" si="20"/>
        <v>一</v>
      </c>
      <c r="GX6" s="103" t="str">
        <f t="shared" si="20"/>
        <v>二</v>
      </c>
      <c r="GY6" s="103" t="str">
        <f t="shared" si="20"/>
        <v>三</v>
      </c>
      <c r="GZ6" s="103" t="str">
        <f t="shared" si="20"/>
        <v>四</v>
      </c>
      <c r="HA6" s="103" t="str">
        <f t="shared" si="20"/>
        <v>五</v>
      </c>
      <c r="HB6" s="103" t="str">
        <f t="shared" ref="HB6:JM6" si="21">TEXT(HB5,"aaa")</f>
        <v>六</v>
      </c>
      <c r="HC6" s="103" t="str">
        <f t="shared" si="21"/>
        <v>日</v>
      </c>
      <c r="HD6" s="103" t="str">
        <f t="shared" si="21"/>
        <v>一</v>
      </c>
      <c r="HE6" s="103" t="str">
        <f t="shared" si="21"/>
        <v>二</v>
      </c>
      <c r="HF6" s="103" t="str">
        <f t="shared" si="21"/>
        <v>三</v>
      </c>
      <c r="HG6" s="103" t="str">
        <f t="shared" si="21"/>
        <v>四</v>
      </c>
      <c r="HH6" s="103" t="str">
        <f t="shared" si="21"/>
        <v>五</v>
      </c>
      <c r="HI6" s="103" t="str">
        <f t="shared" si="21"/>
        <v>六</v>
      </c>
      <c r="HJ6" s="103" t="str">
        <f t="shared" si="21"/>
        <v>日</v>
      </c>
      <c r="HK6" s="103" t="str">
        <f t="shared" si="21"/>
        <v>一</v>
      </c>
      <c r="HL6" s="103" t="str">
        <f t="shared" si="21"/>
        <v>二</v>
      </c>
      <c r="HM6" s="103" t="str">
        <f t="shared" si="21"/>
        <v>三</v>
      </c>
      <c r="HN6" s="103" t="str">
        <f t="shared" si="21"/>
        <v>四</v>
      </c>
      <c r="HO6" s="103" t="str">
        <f t="shared" si="21"/>
        <v>五</v>
      </c>
      <c r="HP6" s="103" t="str">
        <f t="shared" si="21"/>
        <v>六</v>
      </c>
      <c r="HQ6" s="103" t="str">
        <f t="shared" si="21"/>
        <v>日</v>
      </c>
      <c r="HR6" s="103" t="str">
        <f t="shared" si="21"/>
        <v>一</v>
      </c>
      <c r="HS6" s="103" t="str">
        <f t="shared" si="21"/>
        <v>二</v>
      </c>
      <c r="HT6" s="103" t="str">
        <f t="shared" si="21"/>
        <v>三</v>
      </c>
      <c r="HU6" s="103" t="str">
        <f t="shared" si="21"/>
        <v>四</v>
      </c>
      <c r="HV6" s="103" t="str">
        <f t="shared" si="21"/>
        <v>五</v>
      </c>
      <c r="HW6" s="103" t="str">
        <f t="shared" si="21"/>
        <v>六</v>
      </c>
      <c r="HX6" s="103" t="str">
        <f t="shared" si="21"/>
        <v>日</v>
      </c>
      <c r="HY6" s="103" t="str">
        <f t="shared" si="21"/>
        <v>一</v>
      </c>
      <c r="HZ6" s="103" t="str">
        <f t="shared" si="21"/>
        <v>二</v>
      </c>
      <c r="IA6" s="103" t="str">
        <f t="shared" si="21"/>
        <v>三</v>
      </c>
      <c r="IB6" s="103" t="str">
        <f t="shared" si="21"/>
        <v>四</v>
      </c>
      <c r="IC6" s="103" t="str">
        <f t="shared" si="21"/>
        <v>五</v>
      </c>
      <c r="ID6" s="103" t="str">
        <f t="shared" si="21"/>
        <v>六</v>
      </c>
      <c r="IE6" s="103" t="str">
        <f t="shared" si="21"/>
        <v>日</v>
      </c>
      <c r="IF6" s="103" t="str">
        <f t="shared" si="21"/>
        <v>一</v>
      </c>
      <c r="IG6" s="103" t="str">
        <f t="shared" si="21"/>
        <v>二</v>
      </c>
      <c r="IH6" s="103" t="str">
        <f t="shared" si="21"/>
        <v>三</v>
      </c>
      <c r="II6" s="103" t="str">
        <f t="shared" si="21"/>
        <v>四</v>
      </c>
      <c r="IJ6" s="103" t="str">
        <f t="shared" si="21"/>
        <v>五</v>
      </c>
      <c r="IK6" s="103" t="str">
        <f t="shared" si="21"/>
        <v>六</v>
      </c>
      <c r="IL6" s="103" t="str">
        <f t="shared" si="21"/>
        <v>日</v>
      </c>
      <c r="IM6" s="103" t="str">
        <f t="shared" si="21"/>
        <v>一</v>
      </c>
      <c r="IN6" s="103" t="str">
        <f t="shared" si="21"/>
        <v>二</v>
      </c>
      <c r="IO6" s="103" t="str">
        <f t="shared" si="21"/>
        <v>三</v>
      </c>
      <c r="IP6" s="103" t="str">
        <f t="shared" si="21"/>
        <v>四</v>
      </c>
      <c r="IQ6" s="103" t="str">
        <f t="shared" si="21"/>
        <v>五</v>
      </c>
      <c r="IR6" s="103" t="str">
        <f t="shared" si="21"/>
        <v>六</v>
      </c>
      <c r="IS6" s="103" t="str">
        <f t="shared" si="21"/>
        <v>日</v>
      </c>
      <c r="IT6" s="103" t="str">
        <f t="shared" si="21"/>
        <v>一</v>
      </c>
      <c r="IU6" s="103" t="str">
        <f t="shared" si="21"/>
        <v>二</v>
      </c>
      <c r="IV6" s="103" t="str">
        <f t="shared" si="21"/>
        <v>三</v>
      </c>
      <c r="IW6" s="103" t="str">
        <f t="shared" si="21"/>
        <v>四</v>
      </c>
      <c r="IX6" s="103" t="str">
        <f t="shared" si="21"/>
        <v>五</v>
      </c>
      <c r="IY6" s="103" t="str">
        <f t="shared" si="21"/>
        <v>六</v>
      </c>
      <c r="IZ6" s="103" t="str">
        <f t="shared" si="21"/>
        <v>日</v>
      </c>
      <c r="JA6" s="103" t="str">
        <f t="shared" si="21"/>
        <v>一</v>
      </c>
      <c r="JB6" s="103" t="str">
        <f t="shared" si="21"/>
        <v>二</v>
      </c>
      <c r="JC6" s="103" t="str">
        <f t="shared" si="21"/>
        <v>三</v>
      </c>
      <c r="JD6" s="103" t="str">
        <f t="shared" si="21"/>
        <v>四</v>
      </c>
      <c r="JE6" s="103" t="str">
        <f t="shared" si="21"/>
        <v>五</v>
      </c>
      <c r="JF6" s="103" t="str">
        <f t="shared" si="21"/>
        <v>六</v>
      </c>
      <c r="JG6" s="103" t="str">
        <f t="shared" si="21"/>
        <v>日</v>
      </c>
      <c r="JH6" s="103" t="str">
        <f t="shared" si="21"/>
        <v>一</v>
      </c>
      <c r="JI6" s="103" t="str">
        <f t="shared" si="21"/>
        <v>二</v>
      </c>
      <c r="JJ6" s="103" t="str">
        <f t="shared" si="21"/>
        <v>三</v>
      </c>
      <c r="JK6" s="103" t="str">
        <f t="shared" si="21"/>
        <v>四</v>
      </c>
      <c r="JL6" s="103" t="str">
        <f t="shared" si="21"/>
        <v>五</v>
      </c>
      <c r="JM6" s="103" t="str">
        <f t="shared" si="21"/>
        <v>六</v>
      </c>
      <c r="JN6" s="103" t="str">
        <f t="shared" ref="JN6:LY6" si="22">TEXT(JN5,"aaa")</f>
        <v>日</v>
      </c>
      <c r="JO6" s="103" t="str">
        <f t="shared" si="22"/>
        <v>一</v>
      </c>
      <c r="JP6" s="103" t="str">
        <f t="shared" si="22"/>
        <v>二</v>
      </c>
      <c r="JQ6" s="103" t="str">
        <f t="shared" si="22"/>
        <v>三</v>
      </c>
      <c r="JR6" s="103" t="str">
        <f t="shared" si="22"/>
        <v>四</v>
      </c>
      <c r="JS6" s="103" t="str">
        <f t="shared" si="22"/>
        <v>五</v>
      </c>
      <c r="JT6" s="103" t="str">
        <f t="shared" si="22"/>
        <v>六</v>
      </c>
      <c r="JU6" s="103" t="str">
        <f t="shared" si="22"/>
        <v>日</v>
      </c>
      <c r="JV6" s="103" t="str">
        <f t="shared" si="22"/>
        <v>一</v>
      </c>
      <c r="JW6" s="103" t="str">
        <f t="shared" si="22"/>
        <v>二</v>
      </c>
      <c r="JX6" s="103" t="str">
        <f t="shared" si="22"/>
        <v>三</v>
      </c>
      <c r="JY6" s="103" t="str">
        <f t="shared" si="22"/>
        <v>四</v>
      </c>
      <c r="JZ6" s="103" t="str">
        <f t="shared" si="22"/>
        <v>五</v>
      </c>
      <c r="KA6" s="103" t="str">
        <f t="shared" si="22"/>
        <v>六</v>
      </c>
      <c r="KB6" s="103" t="str">
        <f t="shared" si="22"/>
        <v>日</v>
      </c>
      <c r="KC6" s="103" t="str">
        <f t="shared" si="22"/>
        <v>一</v>
      </c>
      <c r="KD6" s="103" t="str">
        <f t="shared" si="22"/>
        <v>二</v>
      </c>
      <c r="KE6" s="103" t="str">
        <f t="shared" si="22"/>
        <v>三</v>
      </c>
      <c r="KF6" s="103" t="str">
        <f t="shared" si="22"/>
        <v>四</v>
      </c>
      <c r="KG6" s="103" t="str">
        <f t="shared" si="22"/>
        <v>五</v>
      </c>
      <c r="KH6" s="103" t="str">
        <f t="shared" si="22"/>
        <v>六</v>
      </c>
      <c r="KI6" s="103" t="str">
        <f t="shared" si="22"/>
        <v>日</v>
      </c>
      <c r="KJ6" s="103" t="str">
        <f t="shared" si="22"/>
        <v>一</v>
      </c>
      <c r="KK6" s="103" t="str">
        <f t="shared" si="22"/>
        <v>二</v>
      </c>
      <c r="KL6" s="103" t="str">
        <f t="shared" si="22"/>
        <v>三</v>
      </c>
      <c r="KM6" s="103" t="str">
        <f t="shared" si="22"/>
        <v>四</v>
      </c>
      <c r="KN6" s="103" t="str">
        <f t="shared" si="22"/>
        <v>五</v>
      </c>
      <c r="KO6" s="103" t="str">
        <f t="shared" si="22"/>
        <v>六</v>
      </c>
      <c r="KP6" s="103" t="str">
        <f t="shared" si="22"/>
        <v>日</v>
      </c>
      <c r="KQ6" s="103" t="str">
        <f t="shared" si="22"/>
        <v>一</v>
      </c>
      <c r="KR6" s="103" t="str">
        <f t="shared" si="22"/>
        <v>二</v>
      </c>
      <c r="KS6" s="103" t="str">
        <f t="shared" si="22"/>
        <v>三</v>
      </c>
      <c r="KT6" s="103" t="str">
        <f t="shared" si="22"/>
        <v>四</v>
      </c>
      <c r="KU6" s="103" t="str">
        <f t="shared" si="22"/>
        <v>五</v>
      </c>
      <c r="KV6" s="103" t="str">
        <f t="shared" si="22"/>
        <v>六</v>
      </c>
      <c r="KW6" s="103" t="str">
        <f t="shared" si="22"/>
        <v>日</v>
      </c>
      <c r="KX6" s="103" t="str">
        <f t="shared" si="22"/>
        <v>一</v>
      </c>
      <c r="KY6" s="103" t="str">
        <f t="shared" si="22"/>
        <v>二</v>
      </c>
      <c r="KZ6" s="103" t="str">
        <f t="shared" si="22"/>
        <v>三</v>
      </c>
      <c r="LA6" s="103" t="str">
        <f t="shared" si="22"/>
        <v>四</v>
      </c>
      <c r="LB6" s="103" t="str">
        <f t="shared" si="22"/>
        <v>五</v>
      </c>
      <c r="LC6" s="103" t="str">
        <f t="shared" si="22"/>
        <v>六</v>
      </c>
      <c r="LD6" s="103" t="str">
        <f t="shared" si="22"/>
        <v>日</v>
      </c>
      <c r="LE6" s="103" t="str">
        <f t="shared" si="22"/>
        <v>一</v>
      </c>
      <c r="LF6" s="103" t="str">
        <f t="shared" si="22"/>
        <v>二</v>
      </c>
      <c r="LG6" s="103" t="str">
        <f t="shared" si="22"/>
        <v>三</v>
      </c>
      <c r="LH6" s="103" t="str">
        <f t="shared" si="22"/>
        <v>四</v>
      </c>
      <c r="LI6" s="103" t="str">
        <f t="shared" si="22"/>
        <v>五</v>
      </c>
      <c r="LJ6" s="103" t="str">
        <f t="shared" si="22"/>
        <v>六</v>
      </c>
      <c r="LK6" s="103" t="str">
        <f t="shared" si="22"/>
        <v>日</v>
      </c>
      <c r="LL6" s="103" t="str">
        <f t="shared" si="22"/>
        <v>一</v>
      </c>
      <c r="LM6" s="103" t="str">
        <f t="shared" si="22"/>
        <v>二</v>
      </c>
      <c r="LN6" s="103" t="str">
        <f t="shared" si="22"/>
        <v>三</v>
      </c>
      <c r="LO6" s="103" t="str">
        <f t="shared" si="22"/>
        <v>四</v>
      </c>
      <c r="LP6" s="103" t="str">
        <f t="shared" si="22"/>
        <v>五</v>
      </c>
      <c r="LQ6" s="103" t="str">
        <f t="shared" si="22"/>
        <v>六</v>
      </c>
      <c r="LR6" s="103" t="str">
        <f t="shared" si="22"/>
        <v>日</v>
      </c>
      <c r="LS6" s="103" t="str">
        <f t="shared" si="22"/>
        <v>一</v>
      </c>
      <c r="LT6" s="103" t="str">
        <f t="shared" si="22"/>
        <v>二</v>
      </c>
      <c r="LU6" s="103" t="str">
        <f t="shared" si="22"/>
        <v>三</v>
      </c>
      <c r="LV6" s="103" t="str">
        <f t="shared" si="22"/>
        <v>四</v>
      </c>
      <c r="LW6" s="103" t="str">
        <f t="shared" si="22"/>
        <v>五</v>
      </c>
      <c r="LX6" s="103" t="str">
        <f t="shared" si="22"/>
        <v>六</v>
      </c>
      <c r="LY6" s="103" t="str">
        <f t="shared" si="22"/>
        <v>日</v>
      </c>
      <c r="LZ6" s="103" t="str">
        <f t="shared" ref="LZ6:NS6" si="23">TEXT(LZ5,"aaa")</f>
        <v>一</v>
      </c>
      <c r="MA6" s="103" t="str">
        <f t="shared" si="23"/>
        <v>二</v>
      </c>
      <c r="MB6" s="103" t="str">
        <f t="shared" si="23"/>
        <v>三</v>
      </c>
      <c r="MC6" s="103" t="str">
        <f t="shared" si="23"/>
        <v>四</v>
      </c>
      <c r="MD6" s="103" t="str">
        <f t="shared" si="23"/>
        <v>五</v>
      </c>
      <c r="ME6" s="103" t="str">
        <f t="shared" si="23"/>
        <v>六</v>
      </c>
      <c r="MF6" s="103" t="str">
        <f t="shared" si="23"/>
        <v>日</v>
      </c>
      <c r="MG6" s="103" t="str">
        <f t="shared" si="23"/>
        <v>一</v>
      </c>
      <c r="MH6" s="103" t="str">
        <f t="shared" si="23"/>
        <v>二</v>
      </c>
      <c r="MI6" s="103" t="str">
        <f t="shared" si="23"/>
        <v>三</v>
      </c>
      <c r="MJ6" s="103" t="str">
        <f t="shared" si="23"/>
        <v>四</v>
      </c>
      <c r="MK6" s="103" t="str">
        <f t="shared" si="23"/>
        <v>五</v>
      </c>
      <c r="ML6" s="103" t="str">
        <f t="shared" si="23"/>
        <v>六</v>
      </c>
      <c r="MM6" s="103" t="str">
        <f t="shared" si="23"/>
        <v>日</v>
      </c>
      <c r="MN6" s="103" t="str">
        <f t="shared" si="23"/>
        <v>一</v>
      </c>
      <c r="MO6" s="103" t="str">
        <f t="shared" si="23"/>
        <v>二</v>
      </c>
      <c r="MP6" s="103" t="str">
        <f t="shared" si="23"/>
        <v>三</v>
      </c>
      <c r="MQ6" s="103" t="str">
        <f t="shared" si="23"/>
        <v>四</v>
      </c>
      <c r="MR6" s="103" t="str">
        <f t="shared" si="23"/>
        <v>五</v>
      </c>
      <c r="MS6" s="103" t="str">
        <f t="shared" si="23"/>
        <v>六</v>
      </c>
      <c r="MT6" s="103" t="str">
        <f t="shared" si="23"/>
        <v>日</v>
      </c>
      <c r="MU6" s="103" t="str">
        <f t="shared" si="23"/>
        <v>一</v>
      </c>
      <c r="MV6" s="103" t="str">
        <f t="shared" si="23"/>
        <v>二</v>
      </c>
      <c r="MW6" s="103" t="str">
        <f t="shared" si="23"/>
        <v>三</v>
      </c>
      <c r="MX6" s="103" t="str">
        <f t="shared" si="23"/>
        <v>四</v>
      </c>
      <c r="MY6" s="103" t="str">
        <f t="shared" si="23"/>
        <v>五</v>
      </c>
      <c r="MZ6" s="103" t="str">
        <f t="shared" si="23"/>
        <v>六</v>
      </c>
      <c r="NA6" s="103" t="str">
        <f t="shared" si="23"/>
        <v>日</v>
      </c>
      <c r="NB6" s="103" t="str">
        <f t="shared" si="23"/>
        <v>一</v>
      </c>
      <c r="NC6" s="103" t="str">
        <f t="shared" si="23"/>
        <v>二</v>
      </c>
      <c r="ND6" s="103" t="str">
        <f t="shared" si="23"/>
        <v>三</v>
      </c>
      <c r="NE6" s="103" t="str">
        <f t="shared" si="23"/>
        <v>四</v>
      </c>
      <c r="NF6" s="103" t="str">
        <f t="shared" si="23"/>
        <v>五</v>
      </c>
      <c r="NG6" s="103" t="str">
        <f t="shared" si="23"/>
        <v>六</v>
      </c>
      <c r="NH6" s="103" t="str">
        <f t="shared" si="23"/>
        <v>日</v>
      </c>
      <c r="NI6" s="103" t="str">
        <f t="shared" si="23"/>
        <v>一</v>
      </c>
      <c r="NJ6" s="103" t="str">
        <f t="shared" si="23"/>
        <v>二</v>
      </c>
      <c r="NK6" s="103" t="str">
        <f t="shared" si="23"/>
        <v>三</v>
      </c>
      <c r="NL6" s="103" t="str">
        <f t="shared" si="23"/>
        <v>四</v>
      </c>
      <c r="NM6" s="103" t="str">
        <f t="shared" si="23"/>
        <v>五</v>
      </c>
      <c r="NN6" s="103" t="str">
        <f t="shared" si="23"/>
        <v>六</v>
      </c>
      <c r="NO6" s="103" t="str">
        <f t="shared" si="23"/>
        <v>日</v>
      </c>
      <c r="NP6" s="103" t="str">
        <f t="shared" si="23"/>
        <v>一</v>
      </c>
      <c r="NQ6" s="103" t="str">
        <f t="shared" si="23"/>
        <v>二</v>
      </c>
      <c r="NR6" s="103" t="str">
        <f t="shared" si="23"/>
        <v>三</v>
      </c>
      <c r="NS6" s="103" t="str">
        <f t="shared" si="23"/>
        <v>四</v>
      </c>
    </row>
    <row r="7" spans="2:383" s="65" customFormat="1" ht="28" customHeight="1">
      <c r="B7" s="105"/>
      <c r="C7" s="192" t="s">
        <v>63</v>
      </c>
      <c r="D7" s="106" t="s">
        <v>64</v>
      </c>
      <c r="E7" s="107" t="s">
        <v>65</v>
      </c>
      <c r="F7" s="107" t="s">
        <v>66</v>
      </c>
      <c r="G7" s="108"/>
      <c r="H7" s="48"/>
      <c r="I7" s="109"/>
      <c r="J7" s="48"/>
      <c r="K7" s="109"/>
      <c r="L7" s="48"/>
      <c r="M7" s="109"/>
      <c r="N7" s="48"/>
      <c r="O7" s="109"/>
      <c r="P7" s="110"/>
      <c r="Q7" s="111"/>
      <c r="R7" s="112"/>
      <c r="S7" s="112"/>
      <c r="T7" s="112"/>
      <c r="U7" s="113"/>
      <c r="V7" s="114"/>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c r="BZ7" s="112"/>
      <c r="CA7" s="112"/>
      <c r="CB7" s="112"/>
      <c r="CC7" s="112"/>
      <c r="CD7" s="112"/>
      <c r="CE7" s="112"/>
      <c r="CF7" s="112"/>
      <c r="CG7" s="112"/>
      <c r="CH7" s="112"/>
      <c r="CI7" s="112"/>
      <c r="CJ7" s="112"/>
      <c r="CK7" s="112"/>
      <c r="CL7" s="112"/>
      <c r="CM7" s="112"/>
      <c r="CN7" s="112"/>
      <c r="CO7" s="112"/>
      <c r="CP7" s="112"/>
      <c r="CQ7" s="112"/>
      <c r="CR7" s="112"/>
      <c r="CS7" s="112"/>
      <c r="CT7" s="112"/>
      <c r="CU7" s="112"/>
      <c r="CV7" s="112"/>
      <c r="CW7" s="112"/>
      <c r="CX7" s="112"/>
      <c r="CY7" s="112"/>
      <c r="CZ7" s="112"/>
      <c r="DA7" s="112"/>
      <c r="DB7" s="112"/>
      <c r="DC7" s="112"/>
      <c r="DD7" s="112"/>
      <c r="DE7" s="112"/>
      <c r="DF7" s="112"/>
      <c r="DG7" s="112"/>
      <c r="DH7" s="112"/>
      <c r="DI7" s="112"/>
      <c r="DJ7" s="112"/>
      <c r="DK7" s="112"/>
      <c r="DL7" s="112"/>
      <c r="DM7" s="112"/>
      <c r="DN7" s="112"/>
      <c r="DO7" s="112"/>
      <c r="DP7" s="112"/>
      <c r="DQ7" s="112"/>
      <c r="DR7" s="112"/>
      <c r="DS7" s="112"/>
      <c r="DT7" s="112"/>
      <c r="DU7" s="112"/>
      <c r="DV7" s="112"/>
      <c r="DW7" s="112"/>
      <c r="DX7" s="112"/>
      <c r="DY7" s="112"/>
      <c r="DZ7" s="112"/>
      <c r="EA7" s="112"/>
      <c r="EB7" s="112"/>
      <c r="EC7" s="112"/>
      <c r="ED7" s="112"/>
      <c r="EE7" s="112"/>
      <c r="EF7" s="112"/>
      <c r="EG7" s="112"/>
      <c r="EH7" s="112"/>
      <c r="EI7" s="112"/>
      <c r="EJ7" s="112"/>
      <c r="EK7" s="112"/>
      <c r="EL7" s="112"/>
      <c r="EM7" s="112"/>
      <c r="EN7" s="112"/>
      <c r="EO7" s="112"/>
      <c r="EP7" s="112"/>
      <c r="EQ7" s="112"/>
      <c r="ER7" s="112"/>
      <c r="ES7" s="112"/>
      <c r="ET7" s="112"/>
      <c r="EU7" s="112"/>
      <c r="EV7" s="112"/>
      <c r="EW7" s="112"/>
      <c r="EX7" s="112"/>
      <c r="EY7" s="112"/>
      <c r="EZ7" s="112"/>
      <c r="FA7" s="112"/>
      <c r="FB7" s="112"/>
      <c r="FC7" s="112"/>
      <c r="FD7" s="112"/>
      <c r="FE7" s="112"/>
      <c r="FF7" s="112"/>
      <c r="FG7" s="112"/>
      <c r="FH7" s="112"/>
      <c r="FI7" s="112"/>
      <c r="FJ7" s="112"/>
      <c r="FK7" s="112"/>
      <c r="FL7" s="112"/>
      <c r="FM7" s="112"/>
      <c r="FN7" s="112"/>
      <c r="FO7" s="112"/>
      <c r="FP7" s="112"/>
      <c r="FQ7" s="112"/>
      <c r="FR7" s="112"/>
      <c r="FS7" s="112"/>
      <c r="FT7" s="112"/>
      <c r="FU7" s="112"/>
      <c r="FV7" s="112"/>
      <c r="FW7" s="112"/>
      <c r="FX7" s="112"/>
      <c r="FY7" s="112"/>
      <c r="FZ7" s="112"/>
      <c r="GA7" s="112"/>
      <c r="GB7" s="112"/>
      <c r="GC7" s="112"/>
      <c r="GD7" s="112"/>
      <c r="GE7" s="112"/>
      <c r="GF7" s="112"/>
      <c r="GG7" s="112"/>
      <c r="GH7" s="112"/>
      <c r="GI7" s="112"/>
      <c r="GJ7" s="112"/>
      <c r="GK7" s="112"/>
      <c r="GL7" s="112"/>
      <c r="GM7" s="112"/>
      <c r="GN7" s="112"/>
      <c r="GO7" s="112"/>
      <c r="GP7" s="112"/>
      <c r="GQ7" s="112"/>
      <c r="GR7" s="112"/>
      <c r="GS7" s="112"/>
      <c r="GT7" s="112"/>
      <c r="GU7" s="112"/>
      <c r="GV7" s="112"/>
      <c r="GW7" s="112"/>
      <c r="GX7" s="112"/>
      <c r="GY7" s="112"/>
      <c r="GZ7" s="112"/>
      <c r="HA7" s="112"/>
      <c r="HB7" s="112"/>
      <c r="HC7" s="112"/>
      <c r="HD7" s="112"/>
      <c r="HE7" s="112"/>
      <c r="HF7" s="112"/>
      <c r="HG7" s="112"/>
      <c r="HH7" s="112"/>
      <c r="HI7" s="112"/>
      <c r="HJ7" s="112"/>
      <c r="HK7" s="112"/>
      <c r="HL7" s="112"/>
      <c r="HM7" s="112"/>
      <c r="HN7" s="112"/>
      <c r="HO7" s="112"/>
      <c r="HP7" s="112"/>
      <c r="HQ7" s="112"/>
      <c r="HR7" s="112"/>
      <c r="HS7" s="112"/>
      <c r="HT7" s="112"/>
      <c r="HU7" s="112"/>
      <c r="HV7" s="112"/>
      <c r="HW7" s="112"/>
      <c r="HX7" s="112"/>
      <c r="HY7" s="112"/>
      <c r="HZ7" s="112"/>
      <c r="IA7" s="112"/>
      <c r="IB7" s="112"/>
      <c r="IC7" s="112"/>
      <c r="ID7" s="112"/>
      <c r="IE7" s="112"/>
      <c r="IF7" s="112"/>
      <c r="IG7" s="112"/>
      <c r="IH7" s="112"/>
      <c r="II7" s="112"/>
      <c r="IJ7" s="112"/>
      <c r="IK7" s="112"/>
      <c r="IL7" s="112"/>
      <c r="IM7" s="112"/>
      <c r="IN7" s="112"/>
      <c r="IO7" s="112"/>
      <c r="IP7" s="112"/>
      <c r="IQ7" s="112"/>
      <c r="IR7" s="112"/>
      <c r="IS7" s="112"/>
      <c r="IT7" s="112"/>
      <c r="IU7" s="112"/>
      <c r="IV7" s="112"/>
      <c r="IW7" s="112"/>
      <c r="IX7" s="112"/>
      <c r="IY7" s="112"/>
      <c r="IZ7" s="112"/>
      <c r="JA7" s="112"/>
      <c r="JB7" s="112"/>
      <c r="JC7" s="112"/>
      <c r="JD7" s="112"/>
      <c r="JE7" s="112"/>
      <c r="JF7" s="112"/>
      <c r="JG7" s="112"/>
      <c r="JH7" s="112"/>
      <c r="JI7" s="112"/>
      <c r="JJ7" s="112"/>
      <c r="JK7" s="112"/>
      <c r="JL7" s="112"/>
      <c r="JM7" s="112"/>
      <c r="JN7" s="112"/>
      <c r="JO7" s="112"/>
      <c r="JP7" s="112"/>
      <c r="JQ7" s="112"/>
      <c r="JR7" s="112"/>
      <c r="JS7" s="112"/>
      <c r="JT7" s="112"/>
      <c r="JU7" s="112"/>
      <c r="JV7" s="112"/>
      <c r="JW7" s="112"/>
      <c r="JX7" s="112"/>
      <c r="JY7" s="112"/>
      <c r="JZ7" s="112"/>
      <c r="KA7" s="112"/>
      <c r="KB7" s="112"/>
      <c r="KC7" s="112"/>
      <c r="KD7" s="112"/>
      <c r="KE7" s="112"/>
      <c r="KF7" s="112"/>
      <c r="KG7" s="112"/>
      <c r="KH7" s="112"/>
      <c r="KI7" s="112"/>
      <c r="KJ7" s="112"/>
      <c r="KK7" s="112"/>
      <c r="KL7" s="112"/>
      <c r="KM7" s="112"/>
      <c r="KN7" s="112"/>
      <c r="KO7" s="112"/>
      <c r="KP7" s="112"/>
      <c r="KQ7" s="112"/>
      <c r="KR7" s="112"/>
      <c r="KS7" s="112"/>
      <c r="KT7" s="112"/>
      <c r="KU7" s="112"/>
      <c r="KV7" s="112"/>
      <c r="KW7" s="112"/>
      <c r="KX7" s="112"/>
      <c r="KY7" s="112"/>
      <c r="KZ7" s="112"/>
      <c r="LA7" s="112"/>
      <c r="LB7" s="112"/>
      <c r="LC7" s="112"/>
      <c r="LD7" s="112"/>
      <c r="LE7" s="112"/>
      <c r="LF7" s="112"/>
      <c r="LG7" s="112"/>
      <c r="LH7" s="112"/>
      <c r="LI7" s="112"/>
      <c r="LJ7" s="112"/>
      <c r="LK7" s="112"/>
      <c r="LL7" s="112"/>
      <c r="LM7" s="112"/>
      <c r="LN7" s="112"/>
      <c r="LO7" s="112"/>
      <c r="LP7" s="112"/>
      <c r="LQ7" s="112"/>
      <c r="LR7" s="112"/>
      <c r="LS7" s="112"/>
      <c r="LT7" s="112"/>
      <c r="LU7" s="112"/>
      <c r="LV7" s="112"/>
      <c r="LW7" s="112"/>
      <c r="LX7" s="112"/>
      <c r="LY7" s="112"/>
      <c r="LZ7" s="112"/>
      <c r="MA7" s="112"/>
      <c r="MB7" s="112"/>
      <c r="MC7" s="112"/>
      <c r="MD7" s="112"/>
      <c r="ME7" s="112"/>
      <c r="MF7" s="112"/>
      <c r="MG7" s="112"/>
      <c r="MH7" s="112"/>
      <c r="MI7" s="112"/>
      <c r="MJ7" s="112"/>
      <c r="MK7" s="112"/>
      <c r="ML7" s="112"/>
      <c r="MM7" s="112"/>
      <c r="MN7" s="112"/>
      <c r="MO7" s="112"/>
      <c r="MP7" s="112"/>
      <c r="MQ7" s="112"/>
      <c r="MR7" s="112"/>
      <c r="MS7" s="112"/>
      <c r="MT7" s="112"/>
      <c r="MU7" s="112"/>
      <c r="MV7" s="112"/>
      <c r="MW7" s="112"/>
      <c r="MX7" s="112"/>
      <c r="MY7" s="112"/>
      <c r="MZ7" s="112"/>
      <c r="NA7" s="112"/>
      <c r="NB7" s="112"/>
      <c r="NC7" s="112"/>
      <c r="ND7" s="112"/>
      <c r="NE7" s="112"/>
      <c r="NF7" s="112"/>
      <c r="NG7" s="112"/>
      <c r="NH7" s="112"/>
      <c r="NI7" s="112"/>
      <c r="NJ7" s="112"/>
      <c r="NK7" s="112"/>
      <c r="NL7" s="112"/>
      <c r="NM7" s="112"/>
      <c r="NN7" s="112"/>
      <c r="NO7" s="112"/>
      <c r="NP7" s="112"/>
      <c r="NQ7" s="112"/>
      <c r="NR7" s="112"/>
      <c r="NS7" s="112"/>
    </row>
    <row r="8" spans="2:383" s="65" customFormat="1" ht="60" customHeight="1">
      <c r="B8" s="105"/>
      <c r="C8" s="192"/>
      <c r="D8" s="115" t="s">
        <v>67</v>
      </c>
      <c r="E8" s="116" t="s">
        <v>68</v>
      </c>
      <c r="F8" s="117" t="s">
        <v>69</v>
      </c>
      <c r="G8" s="108"/>
      <c r="H8" s="48"/>
      <c r="I8" s="109"/>
      <c r="J8" s="118" t="s">
        <v>70</v>
      </c>
      <c r="K8" s="109"/>
      <c r="L8" s="48"/>
      <c r="M8" s="109"/>
      <c r="N8" s="48"/>
      <c r="O8" s="109"/>
      <c r="P8" s="110"/>
      <c r="Q8" s="111"/>
      <c r="R8" s="112"/>
      <c r="S8" s="112"/>
      <c r="T8" s="112"/>
      <c r="U8" s="113"/>
      <c r="V8" s="114"/>
      <c r="W8" s="112"/>
      <c r="X8" s="112"/>
      <c r="Y8" s="112"/>
      <c r="Z8" s="112"/>
      <c r="AA8" s="112"/>
      <c r="AB8" s="112"/>
      <c r="AC8" s="112"/>
      <c r="AD8" s="112"/>
      <c r="AE8" s="112"/>
      <c r="AF8" s="112"/>
      <c r="AG8" s="112"/>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2"/>
      <c r="BU8" s="112"/>
      <c r="BV8" s="112"/>
      <c r="BW8" s="112"/>
      <c r="BX8" s="112"/>
      <c r="BY8" s="112"/>
      <c r="BZ8" s="112"/>
      <c r="CA8" s="112"/>
      <c r="CB8" s="112"/>
      <c r="CC8" s="112"/>
      <c r="CD8" s="112"/>
      <c r="CE8" s="112"/>
      <c r="CF8" s="112"/>
      <c r="CG8" s="112"/>
      <c r="CH8" s="112"/>
      <c r="CI8" s="112"/>
      <c r="CJ8" s="112"/>
      <c r="CK8" s="112"/>
      <c r="CL8" s="112"/>
      <c r="CM8" s="112"/>
      <c r="CN8" s="112"/>
      <c r="CO8" s="112"/>
      <c r="CP8" s="112"/>
      <c r="CQ8" s="112"/>
      <c r="CR8" s="112"/>
      <c r="CS8" s="112"/>
      <c r="CT8" s="112"/>
      <c r="CU8" s="112"/>
      <c r="CV8" s="112"/>
      <c r="CW8" s="112"/>
      <c r="CX8" s="112"/>
      <c r="CY8" s="112"/>
      <c r="CZ8" s="112"/>
      <c r="DA8" s="112"/>
      <c r="DB8" s="112"/>
      <c r="DC8" s="112"/>
      <c r="DD8" s="112"/>
      <c r="DE8" s="112"/>
      <c r="DF8" s="112"/>
      <c r="DG8" s="112"/>
      <c r="DH8" s="112"/>
      <c r="DI8" s="112"/>
      <c r="DJ8" s="112"/>
      <c r="DK8" s="112"/>
      <c r="DL8" s="112"/>
      <c r="DM8" s="112"/>
      <c r="DN8" s="112"/>
      <c r="DO8" s="112"/>
      <c r="DP8" s="112"/>
      <c r="DQ8" s="112"/>
      <c r="DR8" s="112"/>
      <c r="DS8" s="112"/>
      <c r="DT8" s="112"/>
      <c r="DU8" s="112"/>
      <c r="DV8" s="112"/>
      <c r="DW8" s="112"/>
      <c r="DX8" s="112"/>
      <c r="DY8" s="112"/>
      <c r="DZ8" s="112"/>
      <c r="EA8" s="112"/>
      <c r="EB8" s="112"/>
      <c r="EC8" s="112"/>
      <c r="ED8" s="112"/>
      <c r="EE8" s="112"/>
      <c r="EF8" s="112"/>
      <c r="EG8" s="112"/>
      <c r="EH8" s="112"/>
      <c r="EI8" s="112"/>
      <c r="EJ8" s="112"/>
      <c r="EK8" s="112"/>
      <c r="EL8" s="112"/>
      <c r="EM8" s="112"/>
      <c r="EN8" s="112"/>
      <c r="EO8" s="112"/>
      <c r="EP8" s="112"/>
      <c r="EQ8" s="112"/>
      <c r="ER8" s="112"/>
      <c r="ES8" s="112"/>
      <c r="ET8" s="112"/>
      <c r="EU8" s="112"/>
      <c r="EV8" s="112"/>
      <c r="EW8" s="112"/>
      <c r="EX8" s="112"/>
      <c r="EY8" s="112"/>
      <c r="EZ8" s="112"/>
      <c r="FA8" s="112"/>
      <c r="FB8" s="112"/>
      <c r="FC8" s="112"/>
      <c r="FD8" s="112"/>
      <c r="FE8" s="112"/>
      <c r="FF8" s="112"/>
      <c r="FG8" s="112"/>
      <c r="FH8" s="112"/>
      <c r="FI8" s="112"/>
      <c r="FJ8" s="112"/>
      <c r="FK8" s="112"/>
      <c r="FL8" s="112"/>
      <c r="FM8" s="112"/>
      <c r="FN8" s="112"/>
      <c r="FO8" s="112"/>
      <c r="FP8" s="112"/>
      <c r="FQ8" s="112"/>
      <c r="FR8" s="112"/>
      <c r="FS8" s="112"/>
      <c r="FT8" s="112"/>
      <c r="FU8" s="112"/>
      <c r="FV8" s="112"/>
      <c r="FW8" s="112"/>
      <c r="FX8" s="112"/>
      <c r="FY8" s="112"/>
      <c r="FZ8" s="112"/>
      <c r="GA8" s="112"/>
      <c r="GB8" s="112"/>
      <c r="GC8" s="112"/>
      <c r="GD8" s="112"/>
      <c r="GE8" s="112"/>
      <c r="GF8" s="112"/>
      <c r="GG8" s="112"/>
      <c r="GH8" s="112"/>
      <c r="GI8" s="112"/>
      <c r="GJ8" s="112"/>
      <c r="GK8" s="112"/>
      <c r="GL8" s="112"/>
      <c r="GM8" s="112"/>
      <c r="GN8" s="112"/>
      <c r="GO8" s="112"/>
      <c r="GP8" s="112"/>
      <c r="GQ8" s="112"/>
      <c r="GR8" s="112"/>
      <c r="GS8" s="112"/>
      <c r="GT8" s="112"/>
      <c r="GU8" s="112"/>
      <c r="GV8" s="112"/>
      <c r="GW8" s="112"/>
      <c r="GX8" s="112"/>
      <c r="GY8" s="112"/>
      <c r="GZ8" s="112"/>
      <c r="HA8" s="112"/>
      <c r="HB8" s="112"/>
      <c r="HC8" s="112"/>
      <c r="HD8" s="112"/>
      <c r="HE8" s="112"/>
      <c r="HF8" s="112"/>
      <c r="HG8" s="112"/>
      <c r="HH8" s="112"/>
      <c r="HI8" s="112"/>
      <c r="HJ8" s="112"/>
      <c r="HK8" s="112"/>
      <c r="HL8" s="112"/>
      <c r="HM8" s="112"/>
      <c r="HN8" s="112"/>
      <c r="HO8" s="112"/>
      <c r="HP8" s="112"/>
      <c r="HQ8" s="112"/>
      <c r="HR8" s="112"/>
      <c r="HS8" s="112"/>
      <c r="HT8" s="112"/>
      <c r="HU8" s="112"/>
      <c r="HV8" s="112"/>
      <c r="HW8" s="112"/>
      <c r="HX8" s="112"/>
      <c r="HY8" s="112"/>
      <c r="HZ8" s="112"/>
      <c r="IA8" s="112"/>
      <c r="IB8" s="112"/>
      <c r="IC8" s="112"/>
      <c r="ID8" s="112"/>
      <c r="IE8" s="112"/>
      <c r="IF8" s="112"/>
      <c r="IG8" s="112"/>
      <c r="IH8" s="112"/>
      <c r="II8" s="112"/>
      <c r="IJ8" s="112"/>
      <c r="IK8" s="112"/>
      <c r="IL8" s="112"/>
      <c r="IM8" s="112"/>
      <c r="IN8" s="112"/>
      <c r="IO8" s="112"/>
      <c r="IP8" s="112"/>
      <c r="IQ8" s="112"/>
      <c r="IR8" s="112"/>
      <c r="IS8" s="112"/>
      <c r="IT8" s="112"/>
      <c r="IU8" s="112"/>
      <c r="IV8" s="112"/>
      <c r="IW8" s="112"/>
      <c r="IX8" s="112"/>
      <c r="IY8" s="112"/>
      <c r="IZ8" s="112"/>
      <c r="JA8" s="112"/>
      <c r="JB8" s="112"/>
      <c r="JC8" s="112"/>
      <c r="JD8" s="112"/>
      <c r="JE8" s="112"/>
      <c r="JF8" s="112"/>
      <c r="JG8" s="112"/>
      <c r="JH8" s="112"/>
      <c r="JI8" s="112"/>
      <c r="JJ8" s="112"/>
      <c r="JK8" s="112"/>
      <c r="JL8" s="112"/>
      <c r="JM8" s="112"/>
      <c r="JN8" s="112"/>
      <c r="JO8" s="112"/>
      <c r="JP8" s="112"/>
      <c r="JQ8" s="112"/>
      <c r="JR8" s="112"/>
      <c r="JS8" s="112"/>
      <c r="JT8" s="112"/>
      <c r="JU8" s="112"/>
      <c r="JV8" s="112"/>
      <c r="JW8" s="112"/>
      <c r="JX8" s="112"/>
      <c r="JY8" s="112"/>
      <c r="JZ8" s="112"/>
      <c r="KA8" s="112"/>
      <c r="KB8" s="112"/>
      <c r="KC8" s="112"/>
      <c r="KD8" s="112"/>
      <c r="KE8" s="112"/>
      <c r="KF8" s="112"/>
      <c r="KG8" s="112"/>
      <c r="KH8" s="112"/>
      <c r="KI8" s="112"/>
      <c r="KJ8" s="112"/>
      <c r="KK8" s="112"/>
      <c r="KL8" s="112"/>
      <c r="KM8" s="112"/>
      <c r="KN8" s="112"/>
      <c r="KO8" s="112"/>
      <c r="KP8" s="112"/>
      <c r="KQ8" s="112"/>
      <c r="KR8" s="112"/>
      <c r="KS8" s="112"/>
      <c r="KT8" s="112"/>
      <c r="KU8" s="112"/>
      <c r="KV8" s="112"/>
      <c r="KW8" s="112"/>
      <c r="KX8" s="112"/>
      <c r="KY8" s="112"/>
      <c r="KZ8" s="112"/>
      <c r="LA8" s="112"/>
      <c r="LB8" s="112"/>
      <c r="LC8" s="112"/>
      <c r="LD8" s="112"/>
      <c r="LE8" s="112"/>
      <c r="LF8" s="112"/>
      <c r="LG8" s="112"/>
      <c r="LH8" s="112"/>
      <c r="LI8" s="112"/>
      <c r="LJ8" s="112"/>
      <c r="LK8" s="112"/>
      <c r="LL8" s="112"/>
      <c r="LM8" s="112"/>
      <c r="LN8" s="112"/>
      <c r="LO8" s="112"/>
      <c r="LP8" s="112"/>
      <c r="LQ8" s="112"/>
      <c r="LR8" s="112"/>
      <c r="LS8" s="112"/>
      <c r="LT8" s="112"/>
      <c r="LU8" s="112"/>
      <c r="LV8" s="112"/>
      <c r="LW8" s="112"/>
      <c r="LX8" s="112"/>
      <c r="LY8" s="112"/>
      <c r="LZ8" s="112"/>
      <c r="MA8" s="112"/>
      <c r="MB8" s="112"/>
      <c r="MC8" s="112"/>
      <c r="MD8" s="112"/>
      <c r="ME8" s="112"/>
      <c r="MF8" s="112"/>
      <c r="MG8" s="112"/>
      <c r="MH8" s="112"/>
      <c r="MI8" s="112"/>
      <c r="MJ8" s="112"/>
      <c r="MK8" s="112"/>
      <c r="ML8" s="112"/>
      <c r="MM8" s="112"/>
      <c r="MN8" s="112"/>
      <c r="MO8" s="112"/>
      <c r="MP8" s="112"/>
      <c r="MQ8" s="112"/>
      <c r="MR8" s="112"/>
      <c r="MS8" s="112"/>
      <c r="MT8" s="112"/>
      <c r="MU8" s="112"/>
      <c r="MV8" s="112"/>
      <c r="MW8" s="112"/>
      <c r="MX8" s="112"/>
      <c r="MY8" s="112"/>
      <c r="MZ8" s="112"/>
      <c r="NA8" s="112"/>
      <c r="NB8" s="112"/>
      <c r="NC8" s="112"/>
      <c r="ND8" s="112"/>
      <c r="NE8" s="112"/>
      <c r="NF8" s="112"/>
      <c r="NG8" s="112"/>
      <c r="NH8" s="112"/>
      <c r="NI8" s="112"/>
      <c r="NJ8" s="112"/>
      <c r="NK8" s="112"/>
      <c r="NL8" s="112"/>
      <c r="NM8" s="112"/>
      <c r="NN8" s="112"/>
      <c r="NO8" s="112"/>
      <c r="NP8" s="112"/>
      <c r="NQ8" s="112"/>
      <c r="NR8" s="112"/>
      <c r="NS8" s="112"/>
    </row>
    <row r="9" spans="2:383" s="65" customFormat="1" ht="142" customHeight="1">
      <c r="B9" s="105"/>
      <c r="C9" s="192"/>
      <c r="D9" s="115" t="s">
        <v>71</v>
      </c>
      <c r="E9" s="116" t="s">
        <v>72</v>
      </c>
      <c r="F9" s="119" t="s">
        <v>73</v>
      </c>
      <c r="G9" s="48"/>
      <c r="H9" s="120"/>
      <c r="I9" s="121"/>
      <c r="J9" s="109" t="s">
        <v>74</v>
      </c>
      <c r="K9" s="109"/>
      <c r="L9" s="48"/>
      <c r="M9" s="109"/>
      <c r="N9" s="48"/>
      <c r="O9" s="109"/>
      <c r="P9" s="110"/>
      <c r="Q9" s="111"/>
      <c r="R9" s="112"/>
      <c r="S9" s="112"/>
      <c r="T9" s="112"/>
      <c r="U9" s="113"/>
      <c r="V9" s="114"/>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c r="CM9" s="112"/>
      <c r="CN9" s="112"/>
      <c r="CO9" s="112"/>
      <c r="CP9" s="112"/>
      <c r="CQ9" s="112"/>
      <c r="CR9" s="112"/>
      <c r="CS9" s="112"/>
      <c r="CT9" s="112"/>
      <c r="CU9" s="112"/>
      <c r="CV9" s="112"/>
      <c r="CW9" s="112"/>
      <c r="CX9" s="112"/>
      <c r="CY9" s="112"/>
      <c r="CZ9" s="112"/>
      <c r="DA9" s="112"/>
      <c r="DB9" s="112"/>
      <c r="DC9" s="112"/>
      <c r="DD9" s="112"/>
      <c r="DE9" s="112"/>
      <c r="DF9" s="112"/>
      <c r="DG9" s="112"/>
      <c r="DH9" s="112"/>
      <c r="DI9" s="112"/>
      <c r="DJ9" s="112"/>
      <c r="DK9" s="112"/>
      <c r="DL9" s="112"/>
      <c r="DM9" s="112"/>
      <c r="DN9" s="112"/>
      <c r="DO9" s="112"/>
      <c r="DP9" s="112"/>
      <c r="DQ9" s="112"/>
      <c r="DR9" s="112"/>
      <c r="DS9" s="112"/>
      <c r="DT9" s="112"/>
      <c r="DU9" s="112"/>
      <c r="DV9" s="112"/>
      <c r="DW9" s="112"/>
      <c r="DX9" s="112"/>
      <c r="DY9" s="112"/>
      <c r="DZ9" s="112"/>
      <c r="EA9" s="112"/>
      <c r="EB9" s="112"/>
      <c r="EC9" s="112"/>
      <c r="ED9" s="112"/>
      <c r="EE9" s="112"/>
      <c r="EF9" s="112"/>
      <c r="EG9" s="112"/>
      <c r="EH9" s="112"/>
      <c r="EI9" s="112"/>
      <c r="EJ9" s="112"/>
      <c r="EK9" s="112"/>
      <c r="EL9" s="112"/>
      <c r="EM9" s="112"/>
      <c r="EN9" s="112"/>
      <c r="EO9" s="112"/>
      <c r="EP9" s="112"/>
      <c r="EQ9" s="112"/>
      <c r="ER9" s="112"/>
      <c r="ES9" s="112"/>
      <c r="ET9" s="112"/>
      <c r="EU9" s="112"/>
      <c r="EV9" s="112"/>
      <c r="EW9" s="112"/>
      <c r="EX9" s="112"/>
      <c r="EY9" s="112"/>
      <c r="EZ9" s="112"/>
      <c r="FA9" s="112"/>
      <c r="FB9" s="112"/>
      <c r="FC9" s="112"/>
      <c r="FD9" s="112"/>
      <c r="FE9" s="112"/>
      <c r="FF9" s="112"/>
      <c r="FG9" s="112"/>
      <c r="FH9" s="112"/>
      <c r="FI9" s="112"/>
      <c r="FJ9" s="112"/>
      <c r="FK9" s="112"/>
      <c r="FL9" s="112"/>
      <c r="FM9" s="112"/>
      <c r="FN9" s="112"/>
      <c r="FO9" s="112"/>
      <c r="FP9" s="112"/>
      <c r="FQ9" s="112"/>
      <c r="FR9" s="112"/>
      <c r="FS9" s="112"/>
      <c r="FT9" s="112"/>
      <c r="FU9" s="112"/>
      <c r="FV9" s="112"/>
      <c r="FW9" s="112"/>
      <c r="FX9" s="112"/>
      <c r="FY9" s="112"/>
      <c r="FZ9" s="112"/>
      <c r="GA9" s="112"/>
      <c r="GB9" s="112"/>
      <c r="GC9" s="112"/>
      <c r="GD9" s="112"/>
      <c r="GE9" s="112"/>
      <c r="GF9" s="112"/>
      <c r="GG9" s="112"/>
      <c r="GH9" s="112"/>
      <c r="GI9" s="112"/>
      <c r="GJ9" s="112"/>
      <c r="GK9" s="112"/>
      <c r="GL9" s="112"/>
      <c r="GM9" s="112"/>
      <c r="GN9" s="112"/>
      <c r="GO9" s="112"/>
      <c r="GP9" s="112"/>
      <c r="GQ9" s="112"/>
      <c r="GR9" s="112"/>
      <c r="GS9" s="112"/>
      <c r="GT9" s="112"/>
      <c r="GU9" s="112"/>
      <c r="GV9" s="112"/>
      <c r="GW9" s="112"/>
      <c r="GX9" s="112"/>
      <c r="GY9" s="112"/>
      <c r="GZ9" s="112"/>
      <c r="HA9" s="112"/>
      <c r="HB9" s="112"/>
      <c r="HC9" s="112"/>
      <c r="HD9" s="112"/>
      <c r="HE9" s="112"/>
      <c r="HF9" s="112"/>
      <c r="HG9" s="112"/>
      <c r="HH9" s="112"/>
      <c r="HI9" s="112"/>
      <c r="HJ9" s="112"/>
      <c r="HK9" s="112"/>
      <c r="HL9" s="112"/>
      <c r="HM9" s="112"/>
      <c r="HN9" s="112"/>
      <c r="HO9" s="112"/>
      <c r="HP9" s="112"/>
      <c r="HQ9" s="112"/>
      <c r="HR9" s="112"/>
      <c r="HS9" s="112"/>
      <c r="HT9" s="112"/>
      <c r="HU9" s="112"/>
      <c r="HV9" s="112"/>
      <c r="HW9" s="112"/>
      <c r="HX9" s="112"/>
      <c r="HY9" s="112"/>
      <c r="HZ9" s="112"/>
      <c r="IA9" s="112"/>
      <c r="IB9" s="112"/>
      <c r="IC9" s="112"/>
      <c r="ID9" s="112"/>
      <c r="IE9" s="112"/>
      <c r="IF9" s="112"/>
      <c r="IG9" s="112"/>
      <c r="IH9" s="112"/>
      <c r="II9" s="112"/>
      <c r="IJ9" s="112"/>
      <c r="IK9" s="112"/>
      <c r="IL9" s="112"/>
      <c r="IM9" s="112"/>
      <c r="IN9" s="112"/>
      <c r="IO9" s="112"/>
      <c r="IP9" s="112"/>
      <c r="IQ9" s="112"/>
      <c r="IR9" s="112"/>
      <c r="IS9" s="112"/>
      <c r="IT9" s="112"/>
      <c r="IU9" s="112"/>
      <c r="IV9" s="112"/>
      <c r="IW9" s="112"/>
      <c r="IX9" s="112"/>
      <c r="IY9" s="112"/>
      <c r="IZ9" s="112"/>
      <c r="JA9" s="112"/>
      <c r="JB9" s="112"/>
      <c r="JC9" s="112"/>
      <c r="JD9" s="112"/>
      <c r="JE9" s="112"/>
      <c r="JF9" s="112"/>
      <c r="JG9" s="112"/>
      <c r="JH9" s="112"/>
      <c r="JI9" s="112"/>
      <c r="JJ9" s="112"/>
      <c r="JK9" s="112"/>
      <c r="JL9" s="112"/>
      <c r="JM9" s="112"/>
      <c r="JN9" s="112"/>
      <c r="JO9" s="112"/>
      <c r="JP9" s="112"/>
      <c r="JQ9" s="112"/>
      <c r="JR9" s="112"/>
      <c r="JS9" s="112"/>
      <c r="JT9" s="112"/>
      <c r="JU9" s="112"/>
      <c r="JV9" s="112"/>
      <c r="JW9" s="112"/>
      <c r="JX9" s="112"/>
      <c r="JY9" s="112"/>
      <c r="JZ9" s="112"/>
      <c r="KA9" s="112"/>
      <c r="KB9" s="112"/>
      <c r="KC9" s="112"/>
      <c r="KD9" s="112"/>
      <c r="KE9" s="112"/>
      <c r="KF9" s="112"/>
      <c r="KG9" s="112"/>
      <c r="KH9" s="112"/>
      <c r="KI9" s="112"/>
      <c r="KJ9" s="112"/>
      <c r="KK9" s="112"/>
      <c r="KL9" s="112"/>
      <c r="KM9" s="112"/>
      <c r="KN9" s="112"/>
      <c r="KO9" s="112"/>
      <c r="KP9" s="112"/>
      <c r="KQ9" s="112"/>
      <c r="KR9" s="112"/>
      <c r="KS9" s="112"/>
      <c r="KT9" s="112"/>
      <c r="KU9" s="112"/>
      <c r="KV9" s="112"/>
      <c r="KW9" s="112"/>
      <c r="KX9" s="112"/>
      <c r="KY9" s="112"/>
      <c r="KZ9" s="112"/>
      <c r="LA9" s="112"/>
      <c r="LB9" s="112"/>
      <c r="LC9" s="112"/>
      <c r="LD9" s="112"/>
      <c r="LE9" s="112"/>
      <c r="LF9" s="112"/>
      <c r="LG9" s="112"/>
      <c r="LH9" s="112"/>
      <c r="LI9" s="112"/>
      <c r="LJ9" s="112"/>
      <c r="LK9" s="112"/>
      <c r="LL9" s="112"/>
      <c r="LM9" s="112"/>
      <c r="LN9" s="112"/>
      <c r="LO9" s="112"/>
      <c r="LP9" s="112"/>
      <c r="LQ9" s="112"/>
      <c r="LR9" s="112"/>
      <c r="LS9" s="112"/>
      <c r="LT9" s="112"/>
      <c r="LU9" s="112"/>
      <c r="LV9" s="112"/>
      <c r="LW9" s="112"/>
      <c r="LX9" s="112"/>
      <c r="LY9" s="112"/>
      <c r="LZ9" s="112"/>
      <c r="MA9" s="112"/>
      <c r="MB9" s="112"/>
      <c r="MC9" s="112"/>
      <c r="MD9" s="112"/>
      <c r="ME9" s="112"/>
      <c r="MF9" s="112"/>
      <c r="MG9" s="112"/>
      <c r="MH9" s="112"/>
      <c r="MI9" s="112"/>
      <c r="MJ9" s="112"/>
      <c r="MK9" s="112"/>
      <c r="ML9" s="112"/>
      <c r="MM9" s="112"/>
      <c r="MN9" s="112"/>
      <c r="MO9" s="112"/>
      <c r="MP9" s="112"/>
      <c r="MQ9" s="112"/>
      <c r="MR9" s="112"/>
      <c r="MS9" s="112"/>
      <c r="MT9" s="112"/>
      <c r="MU9" s="112"/>
      <c r="MV9" s="112"/>
      <c r="MW9" s="112"/>
      <c r="MX9" s="112"/>
      <c r="MY9" s="112"/>
      <c r="MZ9" s="112"/>
      <c r="NA9" s="112"/>
      <c r="NB9" s="112"/>
      <c r="NC9" s="112"/>
      <c r="ND9" s="112"/>
      <c r="NE9" s="112"/>
      <c r="NF9" s="112"/>
      <c r="NG9" s="112"/>
      <c r="NH9" s="112"/>
      <c r="NI9" s="112"/>
      <c r="NJ9" s="112"/>
      <c r="NK9" s="112"/>
      <c r="NL9" s="112"/>
      <c r="NM9" s="112"/>
      <c r="NN9" s="112"/>
      <c r="NO9" s="112"/>
      <c r="NP9" s="112"/>
      <c r="NQ9" s="112"/>
      <c r="NR9" s="112"/>
      <c r="NS9" s="112"/>
    </row>
    <row r="10" spans="2:383" s="65" customFormat="1" ht="61" customHeight="1">
      <c r="B10" s="105"/>
      <c r="C10" s="192"/>
      <c r="D10" s="115" t="s">
        <v>75</v>
      </c>
      <c r="E10" s="116" t="s">
        <v>76</v>
      </c>
      <c r="F10" s="107" t="s">
        <v>77</v>
      </c>
      <c r="G10" s="108"/>
      <c r="H10" s="48"/>
      <c r="I10" s="109"/>
      <c r="J10" s="118" t="s">
        <v>78</v>
      </c>
      <c r="K10" s="109"/>
      <c r="L10" s="48"/>
      <c r="M10" s="109"/>
      <c r="N10" s="48"/>
      <c r="O10" s="109"/>
      <c r="P10" s="110"/>
      <c r="Q10" s="111"/>
      <c r="R10" s="112"/>
      <c r="S10" s="112"/>
      <c r="T10" s="112"/>
      <c r="U10" s="113"/>
      <c r="V10" s="114"/>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c r="CM10" s="112"/>
      <c r="CN10" s="112"/>
      <c r="CO10" s="112"/>
      <c r="CP10" s="112"/>
      <c r="CQ10" s="112"/>
      <c r="CR10" s="112"/>
      <c r="CS10" s="112"/>
      <c r="CT10" s="112"/>
      <c r="CU10" s="112"/>
      <c r="CV10" s="112"/>
      <c r="CW10" s="112"/>
      <c r="CX10" s="112"/>
      <c r="CY10" s="112"/>
      <c r="CZ10" s="112"/>
      <c r="DA10" s="112"/>
      <c r="DB10" s="112"/>
      <c r="DC10" s="112"/>
      <c r="DD10" s="112"/>
      <c r="DE10" s="112"/>
      <c r="DF10" s="112"/>
      <c r="DG10" s="112"/>
      <c r="DH10" s="112"/>
      <c r="DI10" s="112"/>
      <c r="DJ10" s="112"/>
      <c r="DK10" s="112"/>
      <c r="DL10" s="112"/>
      <c r="DM10" s="112"/>
      <c r="DN10" s="112"/>
      <c r="DO10" s="112"/>
      <c r="DP10" s="112"/>
      <c r="DQ10" s="112"/>
      <c r="DR10" s="112"/>
      <c r="DS10" s="112"/>
      <c r="DT10" s="112"/>
      <c r="DU10" s="112"/>
      <c r="DV10" s="112"/>
      <c r="DW10" s="112"/>
      <c r="DX10" s="112"/>
      <c r="DY10" s="112"/>
      <c r="DZ10" s="112"/>
      <c r="EA10" s="112"/>
      <c r="EB10" s="112"/>
      <c r="EC10" s="112"/>
      <c r="ED10" s="112"/>
      <c r="EE10" s="112"/>
      <c r="EF10" s="112"/>
      <c r="EG10" s="112"/>
      <c r="EH10" s="112"/>
      <c r="EI10" s="112"/>
      <c r="EJ10" s="112"/>
      <c r="EK10" s="112"/>
      <c r="EL10" s="112"/>
      <c r="EM10" s="112"/>
      <c r="EN10" s="112"/>
      <c r="EO10" s="112"/>
      <c r="EP10" s="112"/>
      <c r="EQ10" s="112"/>
      <c r="ER10" s="112"/>
      <c r="ES10" s="112"/>
      <c r="ET10" s="112"/>
      <c r="EU10" s="112"/>
      <c r="EV10" s="112"/>
      <c r="EW10" s="112"/>
      <c r="EX10" s="112"/>
      <c r="EY10" s="112"/>
      <c r="EZ10" s="112"/>
      <c r="FA10" s="112"/>
      <c r="FB10" s="112"/>
      <c r="FC10" s="112"/>
      <c r="FD10" s="112"/>
      <c r="FE10" s="112"/>
      <c r="FF10" s="112"/>
      <c r="FG10" s="112"/>
      <c r="FH10" s="112"/>
      <c r="FI10" s="112"/>
      <c r="FJ10" s="112"/>
      <c r="FK10" s="112"/>
      <c r="FL10" s="112"/>
      <c r="FM10" s="112"/>
      <c r="FN10" s="112"/>
      <c r="FO10" s="112"/>
      <c r="FP10" s="112"/>
      <c r="FQ10" s="112"/>
      <c r="FR10" s="112"/>
      <c r="FS10" s="112"/>
      <c r="FT10" s="112"/>
      <c r="FU10" s="112"/>
      <c r="FV10" s="112"/>
      <c r="FW10" s="112"/>
      <c r="FX10" s="112"/>
      <c r="FY10" s="112"/>
      <c r="FZ10" s="112"/>
      <c r="GA10" s="112"/>
      <c r="GB10" s="112"/>
      <c r="GC10" s="112"/>
      <c r="GD10" s="112"/>
      <c r="GE10" s="112"/>
      <c r="GF10" s="112"/>
      <c r="GG10" s="112"/>
      <c r="GH10" s="112"/>
      <c r="GI10" s="112"/>
      <c r="GJ10" s="112"/>
      <c r="GK10" s="112"/>
      <c r="GL10" s="112"/>
      <c r="GM10" s="112"/>
      <c r="GN10" s="112"/>
      <c r="GO10" s="112"/>
      <c r="GP10" s="112"/>
      <c r="GQ10" s="112"/>
      <c r="GR10" s="112"/>
      <c r="GS10" s="112"/>
      <c r="GT10" s="112"/>
      <c r="GU10" s="112"/>
      <c r="GV10" s="112"/>
      <c r="GW10" s="112"/>
      <c r="GX10" s="112"/>
      <c r="GY10" s="112"/>
      <c r="GZ10" s="112"/>
      <c r="HA10" s="112"/>
      <c r="HB10" s="112"/>
      <c r="HC10" s="112"/>
      <c r="HD10" s="112"/>
      <c r="HE10" s="112"/>
      <c r="HF10" s="112"/>
      <c r="HG10" s="112"/>
      <c r="HH10" s="112"/>
      <c r="HI10" s="112"/>
      <c r="HJ10" s="112"/>
      <c r="HK10" s="112"/>
      <c r="HL10" s="112"/>
      <c r="HM10" s="112"/>
      <c r="HN10" s="112"/>
      <c r="HO10" s="112"/>
      <c r="HP10" s="112"/>
      <c r="HQ10" s="112"/>
      <c r="HR10" s="112"/>
      <c r="HS10" s="112"/>
      <c r="HT10" s="112"/>
      <c r="HU10" s="112"/>
      <c r="HV10" s="112"/>
      <c r="HW10" s="112"/>
      <c r="HX10" s="112"/>
      <c r="HY10" s="112"/>
      <c r="HZ10" s="112"/>
      <c r="IA10" s="112"/>
      <c r="IB10" s="112"/>
      <c r="IC10" s="112"/>
      <c r="ID10" s="112"/>
      <c r="IE10" s="112"/>
      <c r="IF10" s="112"/>
      <c r="IG10" s="112"/>
      <c r="IH10" s="112"/>
      <c r="II10" s="112"/>
      <c r="IJ10" s="112"/>
      <c r="IK10" s="112"/>
      <c r="IL10" s="112"/>
      <c r="IM10" s="112"/>
      <c r="IN10" s="112"/>
      <c r="IO10" s="112"/>
      <c r="IP10" s="112"/>
      <c r="IQ10" s="112"/>
      <c r="IR10" s="112"/>
      <c r="IS10" s="112"/>
      <c r="IT10" s="112"/>
      <c r="IU10" s="112"/>
      <c r="IV10" s="112"/>
      <c r="IW10" s="112"/>
      <c r="IX10" s="112"/>
      <c r="IY10" s="112"/>
      <c r="IZ10" s="112"/>
      <c r="JA10" s="112"/>
      <c r="JB10" s="112"/>
      <c r="JC10" s="112"/>
      <c r="JD10" s="112"/>
      <c r="JE10" s="112"/>
      <c r="JF10" s="112"/>
      <c r="JG10" s="112"/>
      <c r="JH10" s="112"/>
      <c r="JI10" s="112"/>
      <c r="JJ10" s="112"/>
      <c r="JK10" s="112"/>
      <c r="JL10" s="112"/>
      <c r="JM10" s="112"/>
      <c r="JN10" s="112"/>
      <c r="JO10" s="112"/>
      <c r="JP10" s="112"/>
      <c r="JQ10" s="112"/>
      <c r="JR10" s="112"/>
      <c r="JS10" s="112"/>
      <c r="JT10" s="112"/>
      <c r="JU10" s="112"/>
      <c r="JV10" s="112"/>
      <c r="JW10" s="112"/>
      <c r="JX10" s="112"/>
      <c r="JY10" s="112"/>
      <c r="JZ10" s="112"/>
      <c r="KA10" s="112"/>
      <c r="KB10" s="112"/>
      <c r="KC10" s="112"/>
      <c r="KD10" s="112"/>
      <c r="KE10" s="112"/>
      <c r="KF10" s="112"/>
      <c r="KG10" s="112"/>
      <c r="KH10" s="112"/>
      <c r="KI10" s="112"/>
      <c r="KJ10" s="112"/>
      <c r="KK10" s="112"/>
      <c r="KL10" s="112"/>
      <c r="KM10" s="112"/>
      <c r="KN10" s="112"/>
      <c r="KO10" s="112"/>
      <c r="KP10" s="112"/>
      <c r="KQ10" s="112"/>
      <c r="KR10" s="112"/>
      <c r="KS10" s="112"/>
      <c r="KT10" s="112"/>
      <c r="KU10" s="112"/>
      <c r="KV10" s="112"/>
      <c r="KW10" s="112"/>
      <c r="KX10" s="112"/>
      <c r="KY10" s="112"/>
      <c r="KZ10" s="112"/>
      <c r="LA10" s="112"/>
      <c r="LB10" s="112"/>
      <c r="LC10" s="112"/>
      <c r="LD10" s="112"/>
      <c r="LE10" s="112"/>
      <c r="LF10" s="112"/>
      <c r="LG10" s="112"/>
      <c r="LH10" s="112"/>
      <c r="LI10" s="112"/>
      <c r="LJ10" s="112"/>
      <c r="LK10" s="112"/>
      <c r="LL10" s="112"/>
      <c r="LM10" s="112"/>
      <c r="LN10" s="112"/>
      <c r="LO10" s="112"/>
      <c r="LP10" s="112"/>
      <c r="LQ10" s="112"/>
      <c r="LR10" s="112"/>
      <c r="LS10" s="112"/>
      <c r="LT10" s="112"/>
      <c r="LU10" s="112"/>
      <c r="LV10" s="112"/>
      <c r="LW10" s="112"/>
      <c r="LX10" s="112"/>
      <c r="LY10" s="112"/>
      <c r="LZ10" s="112"/>
      <c r="MA10" s="112"/>
      <c r="MB10" s="112"/>
      <c r="MC10" s="112"/>
      <c r="MD10" s="112"/>
      <c r="ME10" s="112"/>
      <c r="MF10" s="112"/>
      <c r="MG10" s="112"/>
      <c r="MH10" s="112"/>
      <c r="MI10" s="112"/>
      <c r="MJ10" s="112"/>
      <c r="MK10" s="112"/>
      <c r="ML10" s="112"/>
      <c r="MM10" s="112"/>
      <c r="MN10" s="112"/>
      <c r="MO10" s="112"/>
      <c r="MP10" s="112"/>
      <c r="MQ10" s="112"/>
      <c r="MR10" s="112"/>
      <c r="MS10" s="112"/>
      <c r="MT10" s="112"/>
      <c r="MU10" s="112"/>
      <c r="MV10" s="112"/>
      <c r="MW10" s="112"/>
      <c r="MX10" s="112"/>
      <c r="MY10" s="112"/>
      <c r="MZ10" s="112"/>
      <c r="NA10" s="112"/>
      <c r="NB10" s="112"/>
      <c r="NC10" s="112"/>
      <c r="ND10" s="112"/>
      <c r="NE10" s="112"/>
      <c r="NF10" s="112"/>
      <c r="NG10" s="112"/>
      <c r="NH10" s="112"/>
      <c r="NI10" s="112"/>
      <c r="NJ10" s="112"/>
      <c r="NK10" s="112"/>
      <c r="NL10" s="112"/>
      <c r="NM10" s="112"/>
      <c r="NN10" s="112"/>
      <c r="NO10" s="112"/>
      <c r="NP10" s="112"/>
      <c r="NQ10" s="112"/>
      <c r="NR10" s="112"/>
      <c r="NS10" s="112"/>
    </row>
    <row r="11" spans="2:383" s="65" customFormat="1" ht="47" customHeight="1">
      <c r="B11" s="105"/>
      <c r="C11" s="192"/>
      <c r="D11" s="115" t="s">
        <v>79</v>
      </c>
      <c r="E11" s="116" t="s">
        <v>80</v>
      </c>
      <c r="F11" s="107" t="s">
        <v>81</v>
      </c>
      <c r="G11" s="108"/>
      <c r="H11" s="48"/>
      <c r="I11" s="122"/>
      <c r="J11" s="109" t="s">
        <v>74</v>
      </c>
      <c r="K11" s="109"/>
      <c r="L11" s="48"/>
      <c r="M11" s="109"/>
      <c r="N11" s="48"/>
      <c r="O11" s="109"/>
      <c r="P11" s="110"/>
      <c r="Q11" s="111"/>
      <c r="R11" s="112"/>
      <c r="S11" s="112"/>
      <c r="T11" s="112"/>
      <c r="U11" s="113"/>
      <c r="V11" s="114"/>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c r="BM11" s="112"/>
      <c r="BN11" s="112"/>
      <c r="BO11" s="112"/>
      <c r="BP11" s="112"/>
      <c r="BQ11" s="112"/>
      <c r="BR11" s="112"/>
      <c r="BS11" s="112"/>
      <c r="BT11" s="112"/>
      <c r="BU11" s="112"/>
      <c r="BV11" s="112"/>
      <c r="BW11" s="112"/>
      <c r="BX11" s="112"/>
      <c r="BY11" s="112"/>
      <c r="BZ11" s="112"/>
      <c r="CA11" s="112"/>
      <c r="CB11" s="112"/>
      <c r="CC11" s="112"/>
      <c r="CD11" s="112"/>
      <c r="CE11" s="112"/>
      <c r="CF11" s="112"/>
      <c r="CG11" s="112"/>
      <c r="CH11" s="112"/>
      <c r="CI11" s="112"/>
      <c r="CJ11" s="112"/>
      <c r="CK11" s="112"/>
      <c r="CL11" s="112"/>
      <c r="CM11" s="112"/>
      <c r="CN11" s="112"/>
      <c r="CO11" s="112"/>
      <c r="CP11" s="112"/>
      <c r="CQ11" s="112"/>
      <c r="CR11" s="112"/>
      <c r="CS11" s="112"/>
      <c r="CT11" s="112"/>
      <c r="CU11" s="112"/>
      <c r="CV11" s="112"/>
      <c r="CW11" s="112"/>
      <c r="CX11" s="112"/>
      <c r="CY11" s="112"/>
      <c r="CZ11" s="112"/>
      <c r="DA11" s="112"/>
      <c r="DB11" s="112"/>
      <c r="DC11" s="112"/>
      <c r="DD11" s="112"/>
      <c r="DE11" s="112"/>
      <c r="DF11" s="112"/>
      <c r="DG11" s="112"/>
      <c r="DH11" s="112"/>
      <c r="DI11" s="112"/>
      <c r="DJ11" s="112"/>
      <c r="DK11" s="112"/>
      <c r="DL11" s="112"/>
      <c r="DM11" s="112"/>
      <c r="DN11" s="112"/>
      <c r="DO11" s="112"/>
      <c r="DP11" s="112"/>
      <c r="DQ11" s="112"/>
      <c r="DR11" s="112"/>
      <c r="DS11" s="112"/>
      <c r="DT11" s="112"/>
      <c r="DU11" s="112"/>
      <c r="DV11" s="112"/>
      <c r="DW11" s="112"/>
      <c r="DX11" s="112"/>
      <c r="DY11" s="112"/>
      <c r="DZ11" s="112"/>
      <c r="EA11" s="112"/>
      <c r="EB11" s="112"/>
      <c r="EC11" s="112"/>
      <c r="ED11" s="112"/>
      <c r="EE11" s="112"/>
      <c r="EF11" s="112"/>
      <c r="EG11" s="112"/>
      <c r="EH11" s="112"/>
      <c r="EI11" s="112"/>
      <c r="EJ11" s="112"/>
      <c r="EK11" s="112"/>
      <c r="EL11" s="112"/>
      <c r="EM11" s="112"/>
      <c r="EN11" s="112"/>
      <c r="EO11" s="112"/>
      <c r="EP11" s="112"/>
      <c r="EQ11" s="112"/>
      <c r="ER11" s="112"/>
      <c r="ES11" s="112"/>
      <c r="ET11" s="112"/>
      <c r="EU11" s="112"/>
      <c r="EV11" s="112"/>
      <c r="EW11" s="112"/>
      <c r="EX11" s="112"/>
      <c r="EY11" s="112"/>
      <c r="EZ11" s="112"/>
      <c r="FA11" s="112"/>
      <c r="FB11" s="112"/>
      <c r="FC11" s="112"/>
      <c r="FD11" s="112"/>
      <c r="FE11" s="112"/>
      <c r="FF11" s="112"/>
      <c r="FG11" s="112"/>
      <c r="FH11" s="112"/>
      <c r="FI11" s="112"/>
      <c r="FJ11" s="112"/>
      <c r="FK11" s="112"/>
      <c r="FL11" s="112"/>
      <c r="FM11" s="112"/>
      <c r="FN11" s="112"/>
      <c r="FO11" s="112"/>
      <c r="FP11" s="112"/>
      <c r="FQ11" s="112"/>
      <c r="FR11" s="112"/>
      <c r="FS11" s="112"/>
      <c r="FT11" s="112"/>
      <c r="FU11" s="112"/>
      <c r="FV11" s="112"/>
      <c r="FW11" s="112"/>
      <c r="FX11" s="112"/>
      <c r="FY11" s="112"/>
      <c r="FZ11" s="112"/>
      <c r="GA11" s="112"/>
      <c r="GB11" s="112"/>
      <c r="GC11" s="112"/>
      <c r="GD11" s="112"/>
      <c r="GE11" s="112"/>
      <c r="GF11" s="112"/>
      <c r="GG11" s="112"/>
      <c r="GH11" s="112"/>
      <c r="GI11" s="112"/>
      <c r="GJ11" s="112"/>
      <c r="GK11" s="112"/>
      <c r="GL11" s="112"/>
      <c r="GM11" s="112"/>
      <c r="GN11" s="112"/>
      <c r="GO11" s="112"/>
      <c r="GP11" s="112"/>
      <c r="GQ11" s="112"/>
      <c r="GR11" s="112"/>
      <c r="GS11" s="112"/>
      <c r="GT11" s="112"/>
      <c r="GU11" s="112"/>
      <c r="GV11" s="112"/>
      <c r="GW11" s="112"/>
      <c r="GX11" s="112"/>
      <c r="GY11" s="112"/>
      <c r="GZ11" s="112"/>
      <c r="HA11" s="112"/>
      <c r="HB11" s="112"/>
      <c r="HC11" s="112"/>
      <c r="HD11" s="112"/>
      <c r="HE11" s="112"/>
      <c r="HF11" s="112"/>
      <c r="HG11" s="112"/>
      <c r="HH11" s="112"/>
      <c r="HI11" s="112"/>
      <c r="HJ11" s="112"/>
      <c r="HK11" s="112"/>
      <c r="HL11" s="112"/>
      <c r="HM11" s="112"/>
      <c r="HN11" s="112"/>
      <c r="HO11" s="112"/>
      <c r="HP11" s="112"/>
      <c r="HQ11" s="112"/>
      <c r="HR11" s="112"/>
      <c r="HS11" s="112"/>
      <c r="HT11" s="112"/>
      <c r="HU11" s="112"/>
      <c r="HV11" s="112"/>
      <c r="HW11" s="112"/>
      <c r="HX11" s="112"/>
      <c r="HY11" s="112"/>
      <c r="HZ11" s="112"/>
      <c r="IA11" s="112"/>
      <c r="IB11" s="112"/>
      <c r="IC11" s="112"/>
      <c r="ID11" s="112"/>
      <c r="IE11" s="112"/>
      <c r="IF11" s="112"/>
      <c r="IG11" s="112"/>
      <c r="IH11" s="112"/>
      <c r="II11" s="112"/>
      <c r="IJ11" s="112"/>
      <c r="IK11" s="112"/>
      <c r="IL11" s="112"/>
      <c r="IM11" s="112"/>
      <c r="IN11" s="112"/>
      <c r="IO11" s="112"/>
      <c r="IP11" s="112"/>
      <c r="IQ11" s="112"/>
      <c r="IR11" s="112"/>
      <c r="IS11" s="112"/>
      <c r="IT11" s="112"/>
      <c r="IU11" s="112"/>
      <c r="IV11" s="112"/>
      <c r="IW11" s="112"/>
      <c r="IX11" s="112"/>
      <c r="IY11" s="112"/>
      <c r="IZ11" s="112"/>
      <c r="JA11" s="112"/>
      <c r="JB11" s="112"/>
      <c r="JC11" s="112"/>
      <c r="JD11" s="112"/>
      <c r="JE11" s="112"/>
      <c r="JF11" s="112"/>
      <c r="JG11" s="112"/>
      <c r="JH11" s="112"/>
      <c r="JI11" s="112"/>
      <c r="JJ11" s="112"/>
      <c r="JK11" s="112"/>
      <c r="JL11" s="112"/>
      <c r="JM11" s="112"/>
      <c r="JN11" s="112"/>
      <c r="JO11" s="112"/>
      <c r="JP11" s="112"/>
      <c r="JQ11" s="112"/>
      <c r="JR11" s="112"/>
      <c r="JS11" s="112"/>
      <c r="JT11" s="112"/>
      <c r="JU11" s="112"/>
      <c r="JV11" s="112"/>
      <c r="JW11" s="112"/>
      <c r="JX11" s="112"/>
      <c r="JY11" s="112"/>
      <c r="JZ11" s="112"/>
      <c r="KA11" s="112"/>
      <c r="KB11" s="112"/>
      <c r="KC11" s="112"/>
      <c r="KD11" s="112"/>
      <c r="KE11" s="112"/>
      <c r="KF11" s="112"/>
      <c r="KG11" s="112"/>
      <c r="KH11" s="112"/>
      <c r="KI11" s="112"/>
      <c r="KJ11" s="112"/>
      <c r="KK11" s="112"/>
      <c r="KL11" s="112"/>
      <c r="KM11" s="112"/>
      <c r="KN11" s="112"/>
      <c r="KO11" s="112"/>
      <c r="KP11" s="112"/>
      <c r="KQ11" s="112"/>
      <c r="KR11" s="112"/>
      <c r="KS11" s="112"/>
      <c r="KT11" s="112"/>
      <c r="KU11" s="112"/>
      <c r="KV11" s="112"/>
      <c r="KW11" s="112"/>
      <c r="KX11" s="112"/>
      <c r="KY11" s="112"/>
      <c r="KZ11" s="112"/>
      <c r="LA11" s="112"/>
      <c r="LB11" s="112"/>
      <c r="LC11" s="112"/>
      <c r="LD11" s="112"/>
      <c r="LE11" s="112"/>
      <c r="LF11" s="112"/>
      <c r="LG11" s="112"/>
      <c r="LH11" s="112"/>
      <c r="LI11" s="112"/>
      <c r="LJ11" s="112"/>
      <c r="LK11" s="112"/>
      <c r="LL11" s="112"/>
      <c r="LM11" s="112"/>
      <c r="LN11" s="112"/>
      <c r="LO11" s="112"/>
      <c r="LP11" s="112"/>
      <c r="LQ11" s="112"/>
      <c r="LR11" s="112"/>
      <c r="LS11" s="112"/>
      <c r="LT11" s="112"/>
      <c r="LU11" s="112"/>
      <c r="LV11" s="112"/>
      <c r="LW11" s="112"/>
      <c r="LX11" s="112"/>
      <c r="LY11" s="112"/>
      <c r="LZ11" s="112"/>
      <c r="MA11" s="112"/>
      <c r="MB11" s="112"/>
      <c r="MC11" s="112"/>
      <c r="MD11" s="112"/>
      <c r="ME11" s="112"/>
      <c r="MF11" s="112"/>
      <c r="MG11" s="112"/>
      <c r="MH11" s="112"/>
      <c r="MI11" s="112"/>
      <c r="MJ11" s="112"/>
      <c r="MK11" s="112"/>
      <c r="ML11" s="112"/>
      <c r="MM11" s="112"/>
      <c r="MN11" s="112"/>
      <c r="MO11" s="112"/>
      <c r="MP11" s="112"/>
      <c r="MQ11" s="112"/>
      <c r="MR11" s="112"/>
      <c r="MS11" s="112"/>
      <c r="MT11" s="112"/>
      <c r="MU11" s="112"/>
      <c r="MV11" s="112"/>
      <c r="MW11" s="112"/>
      <c r="MX11" s="112"/>
      <c r="MY11" s="112"/>
      <c r="MZ11" s="112"/>
      <c r="NA11" s="112"/>
      <c r="NB11" s="112"/>
      <c r="NC11" s="112"/>
      <c r="ND11" s="112"/>
      <c r="NE11" s="112"/>
      <c r="NF11" s="112"/>
      <c r="NG11" s="112"/>
      <c r="NH11" s="112"/>
      <c r="NI11" s="112"/>
      <c r="NJ11" s="112"/>
      <c r="NK11" s="112"/>
      <c r="NL11" s="112"/>
      <c r="NM11" s="112"/>
      <c r="NN11" s="112"/>
      <c r="NO11" s="112"/>
      <c r="NP11" s="112"/>
      <c r="NQ11" s="112"/>
      <c r="NR11" s="112"/>
      <c r="NS11" s="112"/>
    </row>
    <row r="12" spans="2:383" s="65" customFormat="1" ht="23" customHeight="1">
      <c r="B12" s="105"/>
      <c r="C12" s="192"/>
      <c r="D12" s="115" t="s">
        <v>82</v>
      </c>
      <c r="E12" s="116" t="s">
        <v>83</v>
      </c>
      <c r="F12" s="107" t="s">
        <v>84</v>
      </c>
      <c r="G12" s="108"/>
      <c r="H12" s="48"/>
      <c r="I12" s="109"/>
      <c r="J12" s="109" t="s">
        <v>74</v>
      </c>
      <c r="K12" s="109"/>
      <c r="L12" s="48"/>
      <c r="M12" s="109"/>
      <c r="N12" s="48"/>
      <c r="O12" s="109"/>
      <c r="P12" s="110"/>
      <c r="Q12" s="111"/>
      <c r="R12" s="112"/>
      <c r="S12" s="112"/>
      <c r="T12" s="112"/>
      <c r="U12" s="113"/>
      <c r="V12" s="114"/>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c r="BW12" s="112"/>
      <c r="BX12" s="112"/>
      <c r="BY12" s="112"/>
      <c r="BZ12" s="112"/>
      <c r="CA12" s="112"/>
      <c r="CB12" s="112"/>
      <c r="CC12" s="112"/>
      <c r="CD12" s="112"/>
      <c r="CE12" s="112"/>
      <c r="CF12" s="112"/>
      <c r="CG12" s="112"/>
      <c r="CH12" s="112"/>
      <c r="CI12" s="112"/>
      <c r="CJ12" s="112"/>
      <c r="CK12" s="112"/>
      <c r="CL12" s="112"/>
      <c r="CM12" s="112"/>
      <c r="CN12" s="112"/>
      <c r="CO12" s="112"/>
      <c r="CP12" s="112"/>
      <c r="CQ12" s="112"/>
      <c r="CR12" s="112"/>
      <c r="CS12" s="112"/>
      <c r="CT12" s="112"/>
      <c r="CU12" s="112"/>
      <c r="CV12" s="112"/>
      <c r="CW12" s="112"/>
      <c r="CX12" s="112"/>
      <c r="CY12" s="112"/>
      <c r="CZ12" s="112"/>
      <c r="DA12" s="112"/>
      <c r="DB12" s="112"/>
      <c r="DC12" s="112"/>
      <c r="DD12" s="112"/>
      <c r="DE12" s="112"/>
      <c r="DF12" s="112"/>
      <c r="DG12" s="112"/>
      <c r="DH12" s="112"/>
      <c r="DI12" s="112"/>
      <c r="DJ12" s="112"/>
      <c r="DK12" s="112"/>
      <c r="DL12" s="112"/>
      <c r="DM12" s="112"/>
      <c r="DN12" s="112"/>
      <c r="DO12" s="112"/>
      <c r="DP12" s="112"/>
      <c r="DQ12" s="112"/>
      <c r="DR12" s="112"/>
      <c r="DS12" s="112"/>
      <c r="DT12" s="112"/>
      <c r="DU12" s="112"/>
      <c r="DV12" s="112"/>
      <c r="DW12" s="112"/>
      <c r="DX12" s="112"/>
      <c r="DY12" s="112"/>
      <c r="DZ12" s="112"/>
      <c r="EA12" s="112"/>
      <c r="EB12" s="112"/>
      <c r="EC12" s="112"/>
      <c r="ED12" s="112"/>
      <c r="EE12" s="112"/>
      <c r="EF12" s="112"/>
      <c r="EG12" s="112"/>
      <c r="EH12" s="112"/>
      <c r="EI12" s="112"/>
      <c r="EJ12" s="112"/>
      <c r="EK12" s="112"/>
      <c r="EL12" s="112"/>
      <c r="EM12" s="112"/>
      <c r="EN12" s="112"/>
      <c r="EO12" s="112"/>
      <c r="EP12" s="112"/>
      <c r="EQ12" s="112"/>
      <c r="ER12" s="112"/>
      <c r="ES12" s="112"/>
      <c r="ET12" s="112"/>
      <c r="EU12" s="112"/>
      <c r="EV12" s="112"/>
      <c r="EW12" s="112"/>
      <c r="EX12" s="112"/>
      <c r="EY12" s="112"/>
      <c r="EZ12" s="112"/>
      <c r="FA12" s="112"/>
      <c r="FB12" s="112"/>
      <c r="FC12" s="112"/>
      <c r="FD12" s="112"/>
      <c r="FE12" s="112"/>
      <c r="FF12" s="112"/>
      <c r="FG12" s="112"/>
      <c r="FH12" s="112"/>
      <c r="FI12" s="112"/>
      <c r="FJ12" s="112"/>
      <c r="FK12" s="112"/>
      <c r="FL12" s="112"/>
      <c r="FM12" s="112"/>
      <c r="FN12" s="112"/>
      <c r="FO12" s="112"/>
      <c r="FP12" s="112"/>
      <c r="FQ12" s="112"/>
      <c r="FR12" s="112"/>
      <c r="FS12" s="112"/>
      <c r="FT12" s="112"/>
      <c r="FU12" s="112"/>
      <c r="FV12" s="112"/>
      <c r="FW12" s="112"/>
      <c r="FX12" s="112"/>
      <c r="FY12" s="112"/>
      <c r="FZ12" s="112"/>
      <c r="GA12" s="112"/>
      <c r="GB12" s="112"/>
      <c r="GC12" s="112"/>
      <c r="GD12" s="112"/>
      <c r="GE12" s="112"/>
      <c r="GF12" s="112"/>
      <c r="GG12" s="112"/>
      <c r="GH12" s="112"/>
      <c r="GI12" s="112"/>
      <c r="GJ12" s="112"/>
      <c r="GK12" s="112"/>
      <c r="GL12" s="112"/>
      <c r="GM12" s="112"/>
      <c r="GN12" s="112"/>
      <c r="GO12" s="112"/>
      <c r="GP12" s="112"/>
      <c r="GQ12" s="112"/>
      <c r="GR12" s="112"/>
      <c r="GS12" s="112"/>
      <c r="GT12" s="112"/>
      <c r="GU12" s="112"/>
      <c r="GV12" s="112"/>
      <c r="GW12" s="112"/>
      <c r="GX12" s="112"/>
      <c r="GY12" s="112"/>
      <c r="GZ12" s="112"/>
      <c r="HA12" s="112"/>
      <c r="HB12" s="112"/>
      <c r="HC12" s="112"/>
      <c r="HD12" s="112"/>
      <c r="HE12" s="112"/>
      <c r="HF12" s="112"/>
      <c r="HG12" s="112"/>
      <c r="HH12" s="112"/>
      <c r="HI12" s="112"/>
      <c r="HJ12" s="112"/>
      <c r="HK12" s="112"/>
      <c r="HL12" s="112"/>
      <c r="HM12" s="112"/>
      <c r="HN12" s="112"/>
      <c r="HO12" s="112"/>
      <c r="HP12" s="112"/>
      <c r="HQ12" s="112"/>
      <c r="HR12" s="112"/>
      <c r="HS12" s="112"/>
      <c r="HT12" s="112"/>
      <c r="HU12" s="112"/>
      <c r="HV12" s="112"/>
      <c r="HW12" s="112"/>
      <c r="HX12" s="112"/>
      <c r="HY12" s="112"/>
      <c r="HZ12" s="112"/>
      <c r="IA12" s="112"/>
      <c r="IB12" s="112"/>
      <c r="IC12" s="112"/>
      <c r="ID12" s="112"/>
      <c r="IE12" s="112"/>
      <c r="IF12" s="112"/>
      <c r="IG12" s="112"/>
      <c r="IH12" s="112"/>
      <c r="II12" s="112"/>
      <c r="IJ12" s="112"/>
      <c r="IK12" s="112"/>
      <c r="IL12" s="112"/>
      <c r="IM12" s="112"/>
      <c r="IN12" s="112"/>
      <c r="IO12" s="112"/>
      <c r="IP12" s="112"/>
      <c r="IQ12" s="112"/>
      <c r="IR12" s="112"/>
      <c r="IS12" s="112"/>
      <c r="IT12" s="112"/>
      <c r="IU12" s="112"/>
      <c r="IV12" s="112"/>
      <c r="IW12" s="112"/>
      <c r="IX12" s="112"/>
      <c r="IY12" s="112"/>
      <c r="IZ12" s="112"/>
      <c r="JA12" s="112"/>
      <c r="JB12" s="112"/>
      <c r="JC12" s="112"/>
      <c r="JD12" s="112"/>
      <c r="JE12" s="112"/>
      <c r="JF12" s="112"/>
      <c r="JG12" s="112"/>
      <c r="JH12" s="112"/>
      <c r="JI12" s="112"/>
      <c r="JJ12" s="112"/>
      <c r="JK12" s="112"/>
      <c r="JL12" s="112"/>
      <c r="JM12" s="112"/>
      <c r="JN12" s="112"/>
      <c r="JO12" s="112"/>
      <c r="JP12" s="112"/>
      <c r="JQ12" s="112"/>
      <c r="JR12" s="112"/>
      <c r="JS12" s="112"/>
      <c r="JT12" s="112"/>
      <c r="JU12" s="112"/>
      <c r="JV12" s="112"/>
      <c r="JW12" s="112"/>
      <c r="JX12" s="112"/>
      <c r="JY12" s="112"/>
      <c r="JZ12" s="112"/>
      <c r="KA12" s="112"/>
      <c r="KB12" s="112"/>
      <c r="KC12" s="112"/>
      <c r="KD12" s="112"/>
      <c r="KE12" s="112"/>
      <c r="KF12" s="112"/>
      <c r="KG12" s="112"/>
      <c r="KH12" s="112"/>
      <c r="KI12" s="112"/>
      <c r="KJ12" s="112"/>
      <c r="KK12" s="112"/>
      <c r="KL12" s="112"/>
      <c r="KM12" s="112"/>
      <c r="KN12" s="112"/>
      <c r="KO12" s="112"/>
      <c r="KP12" s="112"/>
      <c r="KQ12" s="112"/>
      <c r="KR12" s="112"/>
      <c r="KS12" s="112"/>
      <c r="KT12" s="112"/>
      <c r="KU12" s="112"/>
      <c r="KV12" s="112"/>
      <c r="KW12" s="112"/>
      <c r="KX12" s="112"/>
      <c r="KY12" s="112"/>
      <c r="KZ12" s="112"/>
      <c r="LA12" s="112"/>
      <c r="LB12" s="112"/>
      <c r="LC12" s="112"/>
      <c r="LD12" s="112"/>
      <c r="LE12" s="112"/>
      <c r="LF12" s="112"/>
      <c r="LG12" s="112"/>
      <c r="LH12" s="112"/>
      <c r="LI12" s="112"/>
      <c r="LJ12" s="112"/>
      <c r="LK12" s="112"/>
      <c r="LL12" s="112"/>
      <c r="LM12" s="112"/>
      <c r="LN12" s="112"/>
      <c r="LO12" s="112"/>
      <c r="LP12" s="112"/>
      <c r="LQ12" s="112"/>
      <c r="LR12" s="112"/>
      <c r="LS12" s="112"/>
      <c r="LT12" s="112"/>
      <c r="LU12" s="112"/>
      <c r="LV12" s="112"/>
      <c r="LW12" s="112"/>
      <c r="LX12" s="112"/>
      <c r="LY12" s="112"/>
      <c r="LZ12" s="112"/>
      <c r="MA12" s="112"/>
      <c r="MB12" s="112"/>
      <c r="MC12" s="112"/>
      <c r="MD12" s="112"/>
      <c r="ME12" s="112"/>
      <c r="MF12" s="112"/>
      <c r="MG12" s="112"/>
      <c r="MH12" s="112"/>
      <c r="MI12" s="112"/>
      <c r="MJ12" s="112"/>
      <c r="MK12" s="112"/>
      <c r="ML12" s="112"/>
      <c r="MM12" s="112"/>
      <c r="MN12" s="112"/>
      <c r="MO12" s="112"/>
      <c r="MP12" s="112"/>
      <c r="MQ12" s="112"/>
      <c r="MR12" s="112"/>
      <c r="MS12" s="112"/>
      <c r="MT12" s="112"/>
      <c r="MU12" s="112"/>
      <c r="MV12" s="112"/>
      <c r="MW12" s="112"/>
      <c r="MX12" s="112"/>
      <c r="MY12" s="112"/>
      <c r="MZ12" s="112"/>
      <c r="NA12" s="112"/>
      <c r="NB12" s="112"/>
      <c r="NC12" s="112"/>
      <c r="ND12" s="112"/>
      <c r="NE12" s="112"/>
      <c r="NF12" s="112"/>
      <c r="NG12" s="112"/>
      <c r="NH12" s="112"/>
      <c r="NI12" s="112"/>
      <c r="NJ12" s="112"/>
      <c r="NK12" s="112"/>
      <c r="NL12" s="112"/>
      <c r="NM12" s="112"/>
      <c r="NN12" s="112"/>
      <c r="NO12" s="112"/>
      <c r="NP12" s="112"/>
      <c r="NQ12" s="112"/>
      <c r="NR12" s="112"/>
      <c r="NS12" s="112"/>
    </row>
    <row r="13" spans="2:383" s="65" customFormat="1" ht="24" customHeight="1">
      <c r="B13" s="105"/>
      <c r="C13" s="192"/>
      <c r="D13" s="115" t="s">
        <v>85</v>
      </c>
      <c r="E13" s="116" t="s">
        <v>86</v>
      </c>
      <c r="F13" s="107"/>
      <c r="G13" s="108"/>
      <c r="H13" s="48"/>
      <c r="I13" s="109"/>
      <c r="J13" s="48"/>
      <c r="K13" s="109"/>
      <c r="L13" s="48"/>
      <c r="M13" s="109"/>
      <c r="N13" s="48"/>
      <c r="O13" s="109"/>
      <c r="P13" s="110"/>
      <c r="Q13" s="111"/>
      <c r="R13" s="112"/>
      <c r="S13" s="112"/>
      <c r="T13" s="112"/>
      <c r="U13" s="113"/>
      <c r="V13" s="114"/>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2"/>
      <c r="CC13" s="112"/>
      <c r="CD13" s="112"/>
      <c r="CE13" s="112"/>
      <c r="CF13" s="112"/>
      <c r="CG13" s="112"/>
      <c r="CH13" s="112"/>
      <c r="CI13" s="112"/>
      <c r="CJ13" s="112"/>
      <c r="CK13" s="112"/>
      <c r="CL13" s="112"/>
      <c r="CM13" s="112"/>
      <c r="CN13" s="112"/>
      <c r="CO13" s="112"/>
      <c r="CP13" s="112"/>
      <c r="CQ13" s="112"/>
      <c r="CR13" s="112"/>
      <c r="CS13" s="112"/>
      <c r="CT13" s="112"/>
      <c r="CU13" s="112"/>
      <c r="CV13" s="112"/>
      <c r="CW13" s="112"/>
      <c r="CX13" s="112"/>
      <c r="CY13" s="112"/>
      <c r="CZ13" s="112"/>
      <c r="DA13" s="112"/>
      <c r="DB13" s="112"/>
      <c r="DC13" s="112"/>
      <c r="DD13" s="112"/>
      <c r="DE13" s="112"/>
      <c r="DF13" s="112"/>
      <c r="DG13" s="112"/>
      <c r="DH13" s="112"/>
      <c r="DI13" s="112"/>
      <c r="DJ13" s="112"/>
      <c r="DK13" s="112"/>
      <c r="DL13" s="112"/>
      <c r="DM13" s="112"/>
      <c r="DN13" s="112"/>
      <c r="DO13" s="112"/>
      <c r="DP13" s="112"/>
      <c r="DQ13" s="112"/>
      <c r="DR13" s="112"/>
      <c r="DS13" s="112"/>
      <c r="DT13" s="112"/>
      <c r="DU13" s="112"/>
      <c r="DV13" s="112"/>
      <c r="DW13" s="112"/>
      <c r="DX13" s="112"/>
      <c r="DY13" s="112"/>
      <c r="DZ13" s="112"/>
      <c r="EA13" s="112"/>
      <c r="EB13" s="112"/>
      <c r="EC13" s="112"/>
      <c r="ED13" s="112"/>
      <c r="EE13" s="112"/>
      <c r="EF13" s="112"/>
      <c r="EG13" s="112"/>
      <c r="EH13" s="112"/>
      <c r="EI13" s="112"/>
      <c r="EJ13" s="112"/>
      <c r="EK13" s="112"/>
      <c r="EL13" s="112"/>
      <c r="EM13" s="112"/>
      <c r="EN13" s="112"/>
      <c r="EO13" s="112"/>
      <c r="EP13" s="112"/>
      <c r="EQ13" s="112"/>
      <c r="ER13" s="112"/>
      <c r="ES13" s="112"/>
      <c r="ET13" s="112"/>
      <c r="EU13" s="112"/>
      <c r="EV13" s="112"/>
      <c r="EW13" s="112"/>
      <c r="EX13" s="112"/>
      <c r="EY13" s="112"/>
      <c r="EZ13" s="112"/>
      <c r="FA13" s="112"/>
      <c r="FB13" s="112"/>
      <c r="FC13" s="112"/>
      <c r="FD13" s="112"/>
      <c r="FE13" s="112"/>
      <c r="FF13" s="112"/>
      <c r="FG13" s="112"/>
      <c r="FH13" s="112"/>
      <c r="FI13" s="112"/>
      <c r="FJ13" s="112"/>
      <c r="FK13" s="112"/>
      <c r="FL13" s="112"/>
      <c r="FM13" s="112"/>
      <c r="FN13" s="112"/>
      <c r="FO13" s="112"/>
      <c r="FP13" s="112"/>
      <c r="FQ13" s="112"/>
      <c r="FR13" s="112"/>
      <c r="FS13" s="112"/>
      <c r="FT13" s="112"/>
      <c r="FU13" s="112"/>
      <c r="FV13" s="112"/>
      <c r="FW13" s="112"/>
      <c r="FX13" s="112"/>
      <c r="FY13" s="112"/>
      <c r="FZ13" s="112"/>
      <c r="GA13" s="112"/>
      <c r="GB13" s="112"/>
      <c r="GC13" s="112"/>
      <c r="GD13" s="112"/>
      <c r="GE13" s="112"/>
      <c r="GF13" s="112"/>
      <c r="GG13" s="112"/>
      <c r="GH13" s="112"/>
      <c r="GI13" s="112"/>
      <c r="GJ13" s="112"/>
      <c r="GK13" s="112"/>
      <c r="GL13" s="112"/>
      <c r="GM13" s="112"/>
      <c r="GN13" s="112"/>
      <c r="GO13" s="112"/>
      <c r="GP13" s="112"/>
      <c r="GQ13" s="112"/>
      <c r="GR13" s="112"/>
      <c r="GS13" s="112"/>
      <c r="GT13" s="112"/>
      <c r="GU13" s="112"/>
      <c r="GV13" s="112"/>
      <c r="GW13" s="112"/>
      <c r="GX13" s="112"/>
      <c r="GY13" s="112"/>
      <c r="GZ13" s="112"/>
      <c r="HA13" s="112"/>
      <c r="HB13" s="112"/>
      <c r="HC13" s="112"/>
      <c r="HD13" s="112"/>
      <c r="HE13" s="112"/>
      <c r="HF13" s="112"/>
      <c r="HG13" s="112"/>
      <c r="HH13" s="112"/>
      <c r="HI13" s="112"/>
      <c r="HJ13" s="112"/>
      <c r="HK13" s="112"/>
      <c r="HL13" s="112"/>
      <c r="HM13" s="112"/>
      <c r="HN13" s="112"/>
      <c r="HO13" s="112"/>
      <c r="HP13" s="112"/>
      <c r="HQ13" s="112"/>
      <c r="HR13" s="112"/>
      <c r="HS13" s="112"/>
      <c r="HT13" s="112"/>
      <c r="HU13" s="112"/>
      <c r="HV13" s="112"/>
      <c r="HW13" s="112"/>
      <c r="HX13" s="112"/>
      <c r="HY13" s="112"/>
      <c r="HZ13" s="112"/>
      <c r="IA13" s="112"/>
      <c r="IB13" s="112"/>
      <c r="IC13" s="112"/>
      <c r="ID13" s="112"/>
      <c r="IE13" s="112"/>
      <c r="IF13" s="112"/>
      <c r="IG13" s="112"/>
      <c r="IH13" s="112"/>
      <c r="II13" s="112"/>
      <c r="IJ13" s="112"/>
      <c r="IK13" s="112"/>
      <c r="IL13" s="112"/>
      <c r="IM13" s="112"/>
      <c r="IN13" s="112"/>
      <c r="IO13" s="112"/>
      <c r="IP13" s="112"/>
      <c r="IQ13" s="112"/>
      <c r="IR13" s="112"/>
      <c r="IS13" s="112"/>
      <c r="IT13" s="112"/>
      <c r="IU13" s="112"/>
      <c r="IV13" s="112"/>
      <c r="IW13" s="112"/>
      <c r="IX13" s="112"/>
      <c r="IY13" s="112"/>
      <c r="IZ13" s="112"/>
      <c r="JA13" s="112"/>
      <c r="JB13" s="112"/>
      <c r="JC13" s="112"/>
      <c r="JD13" s="112"/>
      <c r="JE13" s="112"/>
      <c r="JF13" s="112"/>
      <c r="JG13" s="112"/>
      <c r="JH13" s="112"/>
      <c r="JI13" s="112"/>
      <c r="JJ13" s="112"/>
      <c r="JK13" s="112"/>
      <c r="JL13" s="112"/>
      <c r="JM13" s="112"/>
      <c r="JN13" s="112"/>
      <c r="JO13" s="112"/>
      <c r="JP13" s="112"/>
      <c r="JQ13" s="112"/>
      <c r="JR13" s="112"/>
      <c r="JS13" s="112"/>
      <c r="JT13" s="112"/>
      <c r="JU13" s="112"/>
      <c r="JV13" s="112"/>
      <c r="JW13" s="112"/>
      <c r="JX13" s="112"/>
      <c r="JY13" s="112"/>
      <c r="JZ13" s="112"/>
      <c r="KA13" s="112"/>
      <c r="KB13" s="112"/>
      <c r="KC13" s="112"/>
      <c r="KD13" s="112"/>
      <c r="KE13" s="112"/>
      <c r="KF13" s="112"/>
      <c r="KG13" s="112"/>
      <c r="KH13" s="112"/>
      <c r="KI13" s="112"/>
      <c r="KJ13" s="112"/>
      <c r="KK13" s="112"/>
      <c r="KL13" s="112"/>
      <c r="KM13" s="112"/>
      <c r="KN13" s="112"/>
      <c r="KO13" s="112"/>
      <c r="KP13" s="112"/>
      <c r="KQ13" s="112"/>
      <c r="KR13" s="112"/>
      <c r="KS13" s="112"/>
      <c r="KT13" s="112"/>
      <c r="KU13" s="112"/>
      <c r="KV13" s="112"/>
      <c r="KW13" s="112"/>
      <c r="KX13" s="112"/>
      <c r="KY13" s="112"/>
      <c r="KZ13" s="112"/>
      <c r="LA13" s="112"/>
      <c r="LB13" s="112"/>
      <c r="LC13" s="112"/>
      <c r="LD13" s="112"/>
      <c r="LE13" s="112"/>
      <c r="LF13" s="112"/>
      <c r="LG13" s="112"/>
      <c r="LH13" s="112"/>
      <c r="LI13" s="112"/>
      <c r="LJ13" s="112"/>
      <c r="LK13" s="112"/>
      <c r="LL13" s="112"/>
      <c r="LM13" s="112"/>
      <c r="LN13" s="112"/>
      <c r="LO13" s="112"/>
      <c r="LP13" s="112"/>
      <c r="LQ13" s="112"/>
      <c r="LR13" s="112"/>
      <c r="LS13" s="112"/>
      <c r="LT13" s="112"/>
      <c r="LU13" s="112"/>
      <c r="LV13" s="112"/>
      <c r="LW13" s="112"/>
      <c r="LX13" s="112"/>
      <c r="LY13" s="112"/>
      <c r="LZ13" s="112"/>
      <c r="MA13" s="112"/>
      <c r="MB13" s="112"/>
      <c r="MC13" s="112"/>
      <c r="MD13" s="112"/>
      <c r="ME13" s="112"/>
      <c r="MF13" s="112"/>
      <c r="MG13" s="112"/>
      <c r="MH13" s="112"/>
      <c r="MI13" s="112"/>
      <c r="MJ13" s="112"/>
      <c r="MK13" s="112"/>
      <c r="ML13" s="112"/>
      <c r="MM13" s="112"/>
      <c r="MN13" s="112"/>
      <c r="MO13" s="112"/>
      <c r="MP13" s="112"/>
      <c r="MQ13" s="112"/>
      <c r="MR13" s="112"/>
      <c r="MS13" s="112"/>
      <c r="MT13" s="112"/>
      <c r="MU13" s="112"/>
      <c r="MV13" s="112"/>
      <c r="MW13" s="112"/>
      <c r="MX13" s="112"/>
      <c r="MY13" s="112"/>
      <c r="MZ13" s="112"/>
      <c r="NA13" s="112"/>
      <c r="NB13" s="112"/>
      <c r="NC13" s="112"/>
      <c r="ND13" s="112"/>
      <c r="NE13" s="112"/>
      <c r="NF13" s="112"/>
      <c r="NG13" s="112"/>
      <c r="NH13" s="112"/>
      <c r="NI13" s="112"/>
      <c r="NJ13" s="112"/>
      <c r="NK13" s="112"/>
      <c r="NL13" s="112"/>
      <c r="NM13" s="112"/>
      <c r="NN13" s="112"/>
      <c r="NO13" s="112"/>
      <c r="NP13" s="112"/>
      <c r="NQ13" s="112"/>
      <c r="NR13" s="112"/>
      <c r="NS13" s="112"/>
    </row>
    <row r="14" spans="2:383" s="65" customFormat="1" ht="30" customHeight="1">
      <c r="B14" s="105"/>
      <c r="C14" s="192"/>
      <c r="D14" s="115" t="s">
        <v>87</v>
      </c>
      <c r="E14" s="123" t="s">
        <v>88</v>
      </c>
      <c r="F14" s="107" t="s">
        <v>89</v>
      </c>
      <c r="G14" s="108"/>
      <c r="H14" s="48"/>
      <c r="I14" s="109"/>
      <c r="J14" s="109" t="s">
        <v>90</v>
      </c>
      <c r="K14" s="109"/>
      <c r="L14" s="48"/>
      <c r="M14" s="109"/>
      <c r="N14" s="48"/>
      <c r="O14" s="109"/>
      <c r="P14" s="110"/>
      <c r="Q14" s="111"/>
      <c r="R14" s="112"/>
      <c r="S14" s="112"/>
      <c r="T14" s="112"/>
      <c r="U14" s="113"/>
      <c r="V14" s="114"/>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2"/>
      <c r="CC14" s="112"/>
      <c r="CD14" s="112"/>
      <c r="CE14" s="112"/>
      <c r="CF14" s="112"/>
      <c r="CG14" s="112"/>
      <c r="CH14" s="112"/>
      <c r="CI14" s="112"/>
      <c r="CJ14" s="112"/>
      <c r="CK14" s="112"/>
      <c r="CL14" s="112"/>
      <c r="CM14" s="112"/>
      <c r="CN14" s="112"/>
      <c r="CO14" s="112"/>
      <c r="CP14" s="112"/>
      <c r="CQ14" s="112"/>
      <c r="CR14" s="112"/>
      <c r="CS14" s="112"/>
      <c r="CT14" s="112"/>
      <c r="CU14" s="112"/>
      <c r="CV14" s="112"/>
      <c r="CW14" s="112"/>
      <c r="CX14" s="112"/>
      <c r="CY14" s="112"/>
      <c r="CZ14" s="112"/>
      <c r="DA14" s="112"/>
      <c r="DB14" s="112"/>
      <c r="DC14" s="112"/>
      <c r="DD14" s="112"/>
      <c r="DE14" s="112"/>
      <c r="DF14" s="112"/>
      <c r="DG14" s="112"/>
      <c r="DH14" s="112"/>
      <c r="DI14" s="112"/>
      <c r="DJ14" s="112"/>
      <c r="DK14" s="112"/>
      <c r="DL14" s="112"/>
      <c r="DM14" s="112"/>
      <c r="DN14" s="112"/>
      <c r="DO14" s="112"/>
      <c r="DP14" s="112"/>
      <c r="DQ14" s="112"/>
      <c r="DR14" s="112"/>
      <c r="DS14" s="112"/>
      <c r="DT14" s="112"/>
      <c r="DU14" s="112"/>
      <c r="DV14" s="112"/>
      <c r="DW14" s="112"/>
      <c r="DX14" s="112"/>
      <c r="DY14" s="112"/>
      <c r="DZ14" s="112"/>
      <c r="EA14" s="112"/>
      <c r="EB14" s="112"/>
      <c r="EC14" s="112"/>
      <c r="ED14" s="112"/>
      <c r="EE14" s="112"/>
      <c r="EF14" s="112"/>
      <c r="EG14" s="112"/>
      <c r="EH14" s="112"/>
      <c r="EI14" s="112"/>
      <c r="EJ14" s="112"/>
      <c r="EK14" s="112"/>
      <c r="EL14" s="112"/>
      <c r="EM14" s="112"/>
      <c r="EN14" s="112"/>
      <c r="EO14" s="112"/>
      <c r="EP14" s="112"/>
      <c r="EQ14" s="112"/>
      <c r="ER14" s="112"/>
      <c r="ES14" s="112"/>
      <c r="ET14" s="112"/>
      <c r="EU14" s="112"/>
      <c r="EV14" s="112"/>
      <c r="EW14" s="112"/>
      <c r="EX14" s="112"/>
      <c r="EY14" s="112"/>
      <c r="EZ14" s="112"/>
      <c r="FA14" s="112"/>
      <c r="FB14" s="112"/>
      <c r="FC14" s="112"/>
      <c r="FD14" s="112"/>
      <c r="FE14" s="112"/>
      <c r="FF14" s="112"/>
      <c r="FG14" s="112"/>
      <c r="FH14" s="112"/>
      <c r="FI14" s="112"/>
      <c r="FJ14" s="112"/>
      <c r="FK14" s="112"/>
      <c r="FL14" s="112"/>
      <c r="FM14" s="112"/>
      <c r="FN14" s="112"/>
      <c r="FO14" s="112"/>
      <c r="FP14" s="112"/>
      <c r="FQ14" s="112"/>
      <c r="FR14" s="112"/>
      <c r="FS14" s="112"/>
      <c r="FT14" s="112"/>
      <c r="FU14" s="112"/>
      <c r="FV14" s="112"/>
      <c r="FW14" s="112"/>
      <c r="FX14" s="112"/>
      <c r="FY14" s="112"/>
      <c r="FZ14" s="112"/>
      <c r="GA14" s="112"/>
      <c r="GB14" s="112"/>
      <c r="GC14" s="112"/>
      <c r="GD14" s="112"/>
      <c r="GE14" s="112"/>
      <c r="GF14" s="112"/>
      <c r="GG14" s="112"/>
      <c r="GH14" s="112"/>
      <c r="GI14" s="112"/>
      <c r="GJ14" s="112"/>
      <c r="GK14" s="112"/>
      <c r="GL14" s="112"/>
      <c r="GM14" s="112"/>
      <c r="GN14" s="112"/>
      <c r="GO14" s="112"/>
      <c r="GP14" s="112"/>
      <c r="GQ14" s="112"/>
      <c r="GR14" s="112"/>
      <c r="GS14" s="112"/>
      <c r="GT14" s="112"/>
      <c r="GU14" s="112"/>
      <c r="GV14" s="112"/>
      <c r="GW14" s="112"/>
      <c r="GX14" s="112"/>
      <c r="GY14" s="112"/>
      <c r="GZ14" s="112"/>
      <c r="HA14" s="112"/>
      <c r="HB14" s="112"/>
      <c r="HC14" s="112"/>
      <c r="HD14" s="112"/>
      <c r="HE14" s="112"/>
      <c r="HF14" s="112"/>
      <c r="HG14" s="112"/>
      <c r="HH14" s="112"/>
      <c r="HI14" s="112"/>
      <c r="HJ14" s="112"/>
      <c r="HK14" s="112"/>
      <c r="HL14" s="112"/>
      <c r="HM14" s="112"/>
      <c r="HN14" s="112"/>
      <c r="HO14" s="112"/>
      <c r="HP14" s="112"/>
      <c r="HQ14" s="112"/>
      <c r="HR14" s="112"/>
      <c r="HS14" s="112"/>
      <c r="HT14" s="112"/>
      <c r="HU14" s="112"/>
      <c r="HV14" s="112"/>
      <c r="HW14" s="112"/>
      <c r="HX14" s="112"/>
      <c r="HY14" s="112"/>
      <c r="HZ14" s="112"/>
      <c r="IA14" s="112"/>
      <c r="IB14" s="112"/>
      <c r="IC14" s="112"/>
      <c r="ID14" s="112"/>
      <c r="IE14" s="112"/>
      <c r="IF14" s="112"/>
      <c r="IG14" s="112"/>
      <c r="IH14" s="112"/>
      <c r="II14" s="112"/>
      <c r="IJ14" s="112"/>
      <c r="IK14" s="112"/>
      <c r="IL14" s="112"/>
      <c r="IM14" s="112"/>
      <c r="IN14" s="112"/>
      <c r="IO14" s="112"/>
      <c r="IP14" s="112"/>
      <c r="IQ14" s="112"/>
      <c r="IR14" s="112"/>
      <c r="IS14" s="112"/>
      <c r="IT14" s="112"/>
      <c r="IU14" s="112"/>
      <c r="IV14" s="112"/>
      <c r="IW14" s="112"/>
      <c r="IX14" s="112"/>
      <c r="IY14" s="112"/>
      <c r="IZ14" s="112"/>
      <c r="JA14" s="112"/>
      <c r="JB14" s="112"/>
      <c r="JC14" s="112"/>
      <c r="JD14" s="112"/>
      <c r="JE14" s="112"/>
      <c r="JF14" s="112"/>
      <c r="JG14" s="112"/>
      <c r="JH14" s="112"/>
      <c r="JI14" s="112"/>
      <c r="JJ14" s="112"/>
      <c r="JK14" s="112"/>
      <c r="JL14" s="112"/>
      <c r="JM14" s="112"/>
      <c r="JN14" s="112"/>
      <c r="JO14" s="112"/>
      <c r="JP14" s="112"/>
      <c r="JQ14" s="112"/>
      <c r="JR14" s="112"/>
      <c r="JS14" s="112"/>
      <c r="JT14" s="112"/>
      <c r="JU14" s="112"/>
      <c r="JV14" s="112"/>
      <c r="JW14" s="112"/>
      <c r="JX14" s="112"/>
      <c r="JY14" s="112"/>
      <c r="JZ14" s="112"/>
      <c r="KA14" s="112"/>
      <c r="KB14" s="112"/>
      <c r="KC14" s="112"/>
      <c r="KD14" s="112"/>
      <c r="KE14" s="112"/>
      <c r="KF14" s="112"/>
      <c r="KG14" s="112"/>
      <c r="KH14" s="112"/>
      <c r="KI14" s="112"/>
      <c r="KJ14" s="112"/>
      <c r="KK14" s="112"/>
      <c r="KL14" s="112"/>
      <c r="KM14" s="112"/>
      <c r="KN14" s="112"/>
      <c r="KO14" s="112"/>
      <c r="KP14" s="112"/>
      <c r="KQ14" s="112"/>
      <c r="KR14" s="112"/>
      <c r="KS14" s="112"/>
      <c r="KT14" s="112"/>
      <c r="KU14" s="112"/>
      <c r="KV14" s="112"/>
      <c r="KW14" s="112"/>
      <c r="KX14" s="112"/>
      <c r="KY14" s="112"/>
      <c r="KZ14" s="112"/>
      <c r="LA14" s="112"/>
      <c r="LB14" s="112"/>
      <c r="LC14" s="112"/>
      <c r="LD14" s="112"/>
      <c r="LE14" s="112"/>
      <c r="LF14" s="112"/>
      <c r="LG14" s="112"/>
      <c r="LH14" s="112"/>
      <c r="LI14" s="112"/>
      <c r="LJ14" s="112"/>
      <c r="LK14" s="112"/>
      <c r="LL14" s="112"/>
      <c r="LM14" s="112"/>
      <c r="LN14" s="112"/>
      <c r="LO14" s="112"/>
      <c r="LP14" s="112"/>
      <c r="LQ14" s="112"/>
      <c r="LR14" s="112"/>
      <c r="LS14" s="112"/>
      <c r="LT14" s="112"/>
      <c r="LU14" s="112"/>
      <c r="LV14" s="112"/>
      <c r="LW14" s="112"/>
      <c r="LX14" s="112"/>
      <c r="LY14" s="112"/>
      <c r="LZ14" s="112"/>
      <c r="MA14" s="112"/>
      <c r="MB14" s="112"/>
      <c r="MC14" s="112"/>
      <c r="MD14" s="112"/>
      <c r="ME14" s="112"/>
      <c r="MF14" s="112"/>
      <c r="MG14" s="112"/>
      <c r="MH14" s="112"/>
      <c r="MI14" s="112"/>
      <c r="MJ14" s="112"/>
      <c r="MK14" s="112"/>
      <c r="ML14" s="112"/>
      <c r="MM14" s="112"/>
      <c r="MN14" s="112"/>
      <c r="MO14" s="112"/>
      <c r="MP14" s="112"/>
      <c r="MQ14" s="112"/>
      <c r="MR14" s="112"/>
      <c r="MS14" s="112"/>
      <c r="MT14" s="112"/>
      <c r="MU14" s="112"/>
      <c r="MV14" s="112"/>
      <c r="MW14" s="112"/>
      <c r="MX14" s="112"/>
      <c r="MY14" s="112"/>
      <c r="MZ14" s="112"/>
      <c r="NA14" s="112"/>
      <c r="NB14" s="112"/>
      <c r="NC14" s="112"/>
      <c r="ND14" s="112"/>
      <c r="NE14" s="112"/>
      <c r="NF14" s="112"/>
      <c r="NG14" s="112"/>
      <c r="NH14" s="112"/>
      <c r="NI14" s="112"/>
      <c r="NJ14" s="112"/>
      <c r="NK14" s="112"/>
      <c r="NL14" s="112"/>
      <c r="NM14" s="112"/>
      <c r="NN14" s="112"/>
      <c r="NO14" s="112"/>
      <c r="NP14" s="112"/>
      <c r="NQ14" s="112"/>
      <c r="NR14" s="112"/>
      <c r="NS14" s="112"/>
    </row>
    <row r="15" spans="2:383" s="65" customFormat="1" ht="26" customHeight="1">
      <c r="B15" s="105"/>
      <c r="C15" s="192"/>
      <c r="D15" s="124" t="s">
        <v>91</v>
      </c>
      <c r="E15" s="125" t="s">
        <v>65</v>
      </c>
      <c r="F15" s="125" t="s">
        <v>65</v>
      </c>
      <c r="G15" s="108"/>
      <c r="H15" s="48"/>
      <c r="I15" s="109"/>
      <c r="J15" s="48"/>
      <c r="K15" s="109"/>
      <c r="L15" s="48"/>
      <c r="M15" s="109"/>
      <c r="N15" s="48"/>
      <c r="O15" s="109"/>
      <c r="P15" s="110"/>
      <c r="Q15" s="111"/>
      <c r="R15" s="112"/>
      <c r="S15" s="112"/>
      <c r="T15" s="112"/>
      <c r="U15" s="113"/>
      <c r="V15" s="114"/>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c r="CM15" s="112"/>
      <c r="CN15" s="112"/>
      <c r="CO15" s="112"/>
      <c r="CP15" s="112"/>
      <c r="CQ15" s="112"/>
      <c r="CR15" s="112"/>
      <c r="CS15" s="112"/>
      <c r="CT15" s="112"/>
      <c r="CU15" s="112"/>
      <c r="CV15" s="112"/>
      <c r="CW15" s="112"/>
      <c r="CX15" s="112"/>
      <c r="CY15" s="112"/>
      <c r="CZ15" s="112"/>
      <c r="DA15" s="112"/>
      <c r="DB15" s="112"/>
      <c r="DC15" s="112"/>
      <c r="DD15" s="112"/>
      <c r="DE15" s="112"/>
      <c r="DF15" s="112"/>
      <c r="DG15" s="112"/>
      <c r="DH15" s="112"/>
      <c r="DI15" s="112"/>
      <c r="DJ15" s="112"/>
      <c r="DK15" s="112"/>
      <c r="DL15" s="112"/>
      <c r="DM15" s="112"/>
      <c r="DN15" s="112"/>
      <c r="DO15" s="112"/>
      <c r="DP15" s="112"/>
      <c r="DQ15" s="112"/>
      <c r="DR15" s="112"/>
      <c r="DS15" s="112"/>
      <c r="DT15" s="112"/>
      <c r="DU15" s="112"/>
      <c r="DV15" s="112"/>
      <c r="DW15" s="112"/>
      <c r="DX15" s="112"/>
      <c r="DY15" s="112"/>
      <c r="DZ15" s="112"/>
      <c r="EA15" s="112"/>
      <c r="EB15" s="112"/>
      <c r="EC15" s="112"/>
      <c r="ED15" s="112"/>
      <c r="EE15" s="112"/>
      <c r="EF15" s="112"/>
      <c r="EG15" s="112"/>
      <c r="EH15" s="112"/>
      <c r="EI15" s="112"/>
      <c r="EJ15" s="112"/>
      <c r="EK15" s="112"/>
      <c r="EL15" s="112"/>
      <c r="EM15" s="112"/>
      <c r="EN15" s="112"/>
      <c r="EO15" s="112"/>
      <c r="EP15" s="112"/>
      <c r="EQ15" s="112"/>
      <c r="ER15" s="112"/>
      <c r="ES15" s="112"/>
      <c r="ET15" s="112"/>
      <c r="EU15" s="112"/>
      <c r="EV15" s="112"/>
      <c r="EW15" s="112"/>
      <c r="EX15" s="112"/>
      <c r="EY15" s="112"/>
      <c r="EZ15" s="112"/>
      <c r="FA15" s="112"/>
      <c r="FB15" s="112"/>
      <c r="FC15" s="112"/>
      <c r="FD15" s="112"/>
      <c r="FE15" s="112"/>
      <c r="FF15" s="112"/>
      <c r="FG15" s="112"/>
      <c r="FH15" s="112"/>
      <c r="FI15" s="112"/>
      <c r="FJ15" s="112"/>
      <c r="FK15" s="112"/>
      <c r="FL15" s="112"/>
      <c r="FM15" s="112"/>
      <c r="FN15" s="112"/>
      <c r="FO15" s="112"/>
      <c r="FP15" s="112"/>
      <c r="FQ15" s="112"/>
      <c r="FR15" s="112"/>
      <c r="FS15" s="112"/>
      <c r="FT15" s="112"/>
      <c r="FU15" s="112"/>
      <c r="FV15" s="112"/>
      <c r="FW15" s="112"/>
      <c r="FX15" s="112"/>
      <c r="FY15" s="112"/>
      <c r="FZ15" s="112"/>
      <c r="GA15" s="112"/>
      <c r="GB15" s="112"/>
      <c r="GC15" s="112"/>
      <c r="GD15" s="112"/>
      <c r="GE15" s="112"/>
      <c r="GF15" s="112"/>
      <c r="GG15" s="112"/>
      <c r="GH15" s="112"/>
      <c r="GI15" s="112"/>
      <c r="GJ15" s="112"/>
      <c r="GK15" s="112"/>
      <c r="GL15" s="112"/>
      <c r="GM15" s="112"/>
      <c r="GN15" s="112"/>
      <c r="GO15" s="112"/>
      <c r="GP15" s="112"/>
      <c r="GQ15" s="112"/>
      <c r="GR15" s="112"/>
      <c r="GS15" s="112"/>
      <c r="GT15" s="112"/>
      <c r="GU15" s="112"/>
      <c r="GV15" s="112"/>
      <c r="GW15" s="112"/>
      <c r="GX15" s="112"/>
      <c r="GY15" s="112"/>
      <c r="GZ15" s="112"/>
      <c r="HA15" s="112"/>
      <c r="HB15" s="112"/>
      <c r="HC15" s="112"/>
      <c r="HD15" s="112"/>
      <c r="HE15" s="112"/>
      <c r="HF15" s="112"/>
      <c r="HG15" s="112"/>
      <c r="HH15" s="112"/>
      <c r="HI15" s="112"/>
      <c r="HJ15" s="112"/>
      <c r="HK15" s="112"/>
      <c r="HL15" s="112"/>
      <c r="HM15" s="112"/>
      <c r="HN15" s="112"/>
      <c r="HO15" s="112"/>
      <c r="HP15" s="112"/>
      <c r="HQ15" s="112"/>
      <c r="HR15" s="112"/>
      <c r="HS15" s="112"/>
      <c r="HT15" s="112"/>
      <c r="HU15" s="112"/>
      <c r="HV15" s="112"/>
      <c r="HW15" s="112"/>
      <c r="HX15" s="112"/>
      <c r="HY15" s="112"/>
      <c r="HZ15" s="112"/>
      <c r="IA15" s="112"/>
      <c r="IB15" s="112"/>
      <c r="IC15" s="112"/>
      <c r="ID15" s="112"/>
      <c r="IE15" s="112"/>
      <c r="IF15" s="112"/>
      <c r="IG15" s="112"/>
      <c r="IH15" s="112"/>
      <c r="II15" s="112"/>
      <c r="IJ15" s="112"/>
      <c r="IK15" s="112"/>
      <c r="IL15" s="112"/>
      <c r="IM15" s="112"/>
      <c r="IN15" s="112"/>
      <c r="IO15" s="112"/>
      <c r="IP15" s="112"/>
      <c r="IQ15" s="112"/>
      <c r="IR15" s="112"/>
      <c r="IS15" s="112"/>
      <c r="IT15" s="112"/>
      <c r="IU15" s="112"/>
      <c r="IV15" s="112"/>
      <c r="IW15" s="112"/>
      <c r="IX15" s="112"/>
      <c r="IY15" s="112"/>
      <c r="IZ15" s="112"/>
      <c r="JA15" s="112"/>
      <c r="JB15" s="112"/>
      <c r="JC15" s="112"/>
      <c r="JD15" s="112"/>
      <c r="JE15" s="112"/>
      <c r="JF15" s="112"/>
      <c r="JG15" s="112"/>
      <c r="JH15" s="112"/>
      <c r="JI15" s="112"/>
      <c r="JJ15" s="112"/>
      <c r="JK15" s="112"/>
      <c r="JL15" s="112"/>
      <c r="JM15" s="112"/>
      <c r="JN15" s="112"/>
      <c r="JO15" s="112"/>
      <c r="JP15" s="112"/>
      <c r="JQ15" s="112"/>
      <c r="JR15" s="112"/>
      <c r="JS15" s="112"/>
      <c r="JT15" s="112"/>
      <c r="JU15" s="112"/>
      <c r="JV15" s="112"/>
      <c r="JW15" s="112"/>
      <c r="JX15" s="112"/>
      <c r="JY15" s="112"/>
      <c r="JZ15" s="112"/>
      <c r="KA15" s="112"/>
      <c r="KB15" s="112"/>
      <c r="KC15" s="112"/>
      <c r="KD15" s="112"/>
      <c r="KE15" s="112"/>
      <c r="KF15" s="112"/>
      <c r="KG15" s="112"/>
      <c r="KH15" s="112"/>
      <c r="KI15" s="112"/>
      <c r="KJ15" s="112"/>
      <c r="KK15" s="112"/>
      <c r="KL15" s="112"/>
      <c r="KM15" s="112"/>
      <c r="KN15" s="112"/>
      <c r="KO15" s="112"/>
      <c r="KP15" s="112"/>
      <c r="KQ15" s="112"/>
      <c r="KR15" s="112"/>
      <c r="KS15" s="112"/>
      <c r="KT15" s="112"/>
      <c r="KU15" s="112"/>
      <c r="KV15" s="112"/>
      <c r="KW15" s="112"/>
      <c r="KX15" s="112"/>
      <c r="KY15" s="112"/>
      <c r="KZ15" s="112"/>
      <c r="LA15" s="112"/>
      <c r="LB15" s="112"/>
      <c r="LC15" s="112"/>
      <c r="LD15" s="112"/>
      <c r="LE15" s="112"/>
      <c r="LF15" s="112"/>
      <c r="LG15" s="112"/>
      <c r="LH15" s="112"/>
      <c r="LI15" s="112"/>
      <c r="LJ15" s="112"/>
      <c r="LK15" s="112"/>
      <c r="LL15" s="112"/>
      <c r="LM15" s="112"/>
      <c r="LN15" s="112"/>
      <c r="LO15" s="112"/>
      <c r="LP15" s="112"/>
      <c r="LQ15" s="112"/>
      <c r="LR15" s="112"/>
      <c r="LS15" s="112"/>
      <c r="LT15" s="112"/>
      <c r="LU15" s="112"/>
      <c r="LV15" s="112"/>
      <c r="LW15" s="112"/>
      <c r="LX15" s="112"/>
      <c r="LY15" s="112"/>
      <c r="LZ15" s="112"/>
      <c r="MA15" s="112"/>
      <c r="MB15" s="112"/>
      <c r="MC15" s="112"/>
      <c r="MD15" s="112"/>
      <c r="ME15" s="112"/>
      <c r="MF15" s="112"/>
      <c r="MG15" s="112"/>
      <c r="MH15" s="112"/>
      <c r="MI15" s="112"/>
      <c r="MJ15" s="112"/>
      <c r="MK15" s="112"/>
      <c r="ML15" s="112"/>
      <c r="MM15" s="112"/>
      <c r="MN15" s="112"/>
      <c r="MO15" s="112"/>
      <c r="MP15" s="112"/>
      <c r="MQ15" s="112"/>
      <c r="MR15" s="112"/>
      <c r="MS15" s="112"/>
      <c r="MT15" s="112"/>
      <c r="MU15" s="112"/>
      <c r="MV15" s="112"/>
      <c r="MW15" s="112"/>
      <c r="MX15" s="112"/>
      <c r="MY15" s="112"/>
      <c r="MZ15" s="112"/>
      <c r="NA15" s="112"/>
      <c r="NB15" s="112"/>
      <c r="NC15" s="112"/>
      <c r="ND15" s="112"/>
      <c r="NE15" s="112"/>
      <c r="NF15" s="112"/>
      <c r="NG15" s="112"/>
      <c r="NH15" s="112"/>
      <c r="NI15" s="112"/>
      <c r="NJ15" s="112"/>
      <c r="NK15" s="112"/>
      <c r="NL15" s="112"/>
      <c r="NM15" s="112"/>
      <c r="NN15" s="112"/>
      <c r="NO15" s="112"/>
      <c r="NP15" s="112"/>
      <c r="NQ15" s="112"/>
      <c r="NR15" s="112"/>
      <c r="NS15" s="112"/>
    </row>
    <row r="16" spans="2:383" s="65" customFormat="1" ht="25" customHeight="1">
      <c r="B16" s="105"/>
      <c r="C16" s="193"/>
      <c r="D16" s="126" t="s">
        <v>92</v>
      </c>
      <c r="E16" s="127" t="s">
        <v>93</v>
      </c>
      <c r="F16" s="107" t="s">
        <v>94</v>
      </c>
      <c r="G16" s="108"/>
      <c r="H16" s="48"/>
      <c r="I16" s="109"/>
      <c r="J16" s="109" t="s">
        <v>74</v>
      </c>
      <c r="K16" s="109"/>
      <c r="L16" s="48"/>
      <c r="M16" s="109"/>
      <c r="N16" s="48"/>
      <c r="O16" s="109"/>
      <c r="P16" s="110"/>
      <c r="Q16" s="111"/>
      <c r="R16" s="112"/>
      <c r="S16" s="112"/>
      <c r="T16" s="112"/>
      <c r="U16" s="113"/>
      <c r="V16" s="114"/>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c r="CM16" s="112"/>
      <c r="CN16" s="112"/>
      <c r="CO16" s="112"/>
      <c r="CP16" s="112"/>
      <c r="CQ16" s="112"/>
      <c r="CR16" s="112"/>
      <c r="CS16" s="112"/>
      <c r="CT16" s="112"/>
      <c r="CU16" s="112"/>
      <c r="CV16" s="112"/>
      <c r="CW16" s="112"/>
      <c r="CX16" s="112"/>
      <c r="CY16" s="112"/>
      <c r="CZ16" s="112"/>
      <c r="DA16" s="112"/>
      <c r="DB16" s="112"/>
      <c r="DC16" s="112"/>
      <c r="DD16" s="112"/>
      <c r="DE16" s="112"/>
      <c r="DF16" s="112"/>
      <c r="DG16" s="112"/>
      <c r="DH16" s="112"/>
      <c r="DI16" s="112"/>
      <c r="DJ16" s="112"/>
      <c r="DK16" s="112"/>
      <c r="DL16" s="112"/>
      <c r="DM16" s="112"/>
      <c r="DN16" s="112"/>
      <c r="DO16" s="112"/>
      <c r="DP16" s="112"/>
      <c r="DQ16" s="112"/>
      <c r="DR16" s="112"/>
      <c r="DS16" s="112"/>
      <c r="DT16" s="112"/>
      <c r="DU16" s="112"/>
      <c r="DV16" s="112"/>
      <c r="DW16" s="112"/>
      <c r="DX16" s="112"/>
      <c r="DY16" s="112"/>
      <c r="DZ16" s="112"/>
      <c r="EA16" s="112"/>
      <c r="EB16" s="112"/>
      <c r="EC16" s="112"/>
      <c r="ED16" s="112"/>
      <c r="EE16" s="112"/>
      <c r="EF16" s="112"/>
      <c r="EG16" s="112"/>
      <c r="EH16" s="112"/>
      <c r="EI16" s="112"/>
      <c r="EJ16" s="112"/>
      <c r="EK16" s="112"/>
      <c r="EL16" s="112"/>
      <c r="EM16" s="112"/>
      <c r="EN16" s="112"/>
      <c r="EO16" s="112"/>
      <c r="EP16" s="112"/>
      <c r="EQ16" s="112"/>
      <c r="ER16" s="112"/>
      <c r="ES16" s="112"/>
      <c r="ET16" s="112"/>
      <c r="EU16" s="112"/>
      <c r="EV16" s="112"/>
      <c r="EW16" s="112"/>
      <c r="EX16" s="112"/>
      <c r="EY16" s="112"/>
      <c r="EZ16" s="112"/>
      <c r="FA16" s="112"/>
      <c r="FB16" s="112"/>
      <c r="FC16" s="112"/>
      <c r="FD16" s="112"/>
      <c r="FE16" s="112"/>
      <c r="FF16" s="112"/>
      <c r="FG16" s="112"/>
      <c r="FH16" s="112"/>
      <c r="FI16" s="112"/>
      <c r="FJ16" s="112"/>
      <c r="FK16" s="112"/>
      <c r="FL16" s="112"/>
      <c r="FM16" s="112"/>
      <c r="FN16" s="112"/>
      <c r="FO16" s="112"/>
      <c r="FP16" s="112"/>
      <c r="FQ16" s="112"/>
      <c r="FR16" s="112"/>
      <c r="FS16" s="112"/>
      <c r="FT16" s="112"/>
      <c r="FU16" s="112"/>
      <c r="FV16" s="112"/>
      <c r="FW16" s="112"/>
      <c r="FX16" s="112"/>
      <c r="FY16" s="112"/>
      <c r="FZ16" s="112"/>
      <c r="GA16" s="112"/>
      <c r="GB16" s="112"/>
      <c r="GC16" s="112"/>
      <c r="GD16" s="112"/>
      <c r="GE16" s="112"/>
      <c r="GF16" s="112"/>
      <c r="GG16" s="112"/>
      <c r="GH16" s="112"/>
      <c r="GI16" s="112"/>
      <c r="GJ16" s="112"/>
      <c r="GK16" s="112"/>
      <c r="GL16" s="112"/>
      <c r="GM16" s="112"/>
      <c r="GN16" s="112"/>
      <c r="GO16" s="112"/>
      <c r="GP16" s="112"/>
      <c r="GQ16" s="112"/>
      <c r="GR16" s="112"/>
      <c r="GS16" s="112"/>
      <c r="GT16" s="112"/>
      <c r="GU16" s="112"/>
      <c r="GV16" s="112"/>
      <c r="GW16" s="112"/>
      <c r="GX16" s="112"/>
      <c r="GY16" s="112"/>
      <c r="GZ16" s="112"/>
      <c r="HA16" s="112"/>
      <c r="HB16" s="112"/>
      <c r="HC16" s="112"/>
      <c r="HD16" s="112"/>
      <c r="HE16" s="112"/>
      <c r="HF16" s="112"/>
      <c r="HG16" s="112"/>
      <c r="HH16" s="112"/>
      <c r="HI16" s="112"/>
      <c r="HJ16" s="112"/>
      <c r="HK16" s="112"/>
      <c r="HL16" s="112"/>
      <c r="HM16" s="112"/>
      <c r="HN16" s="112"/>
      <c r="HO16" s="112"/>
      <c r="HP16" s="112"/>
      <c r="HQ16" s="112"/>
      <c r="HR16" s="112"/>
      <c r="HS16" s="112"/>
      <c r="HT16" s="112"/>
      <c r="HU16" s="112"/>
      <c r="HV16" s="112"/>
      <c r="HW16" s="112"/>
      <c r="HX16" s="112"/>
      <c r="HY16" s="112"/>
      <c r="HZ16" s="112"/>
      <c r="IA16" s="112"/>
      <c r="IB16" s="112"/>
      <c r="IC16" s="112"/>
      <c r="ID16" s="112"/>
      <c r="IE16" s="112"/>
      <c r="IF16" s="112"/>
      <c r="IG16" s="112"/>
      <c r="IH16" s="112"/>
      <c r="II16" s="112"/>
      <c r="IJ16" s="112"/>
      <c r="IK16" s="112"/>
      <c r="IL16" s="112"/>
      <c r="IM16" s="112"/>
      <c r="IN16" s="112"/>
      <c r="IO16" s="112"/>
      <c r="IP16" s="112"/>
      <c r="IQ16" s="112"/>
      <c r="IR16" s="112"/>
      <c r="IS16" s="112"/>
      <c r="IT16" s="112"/>
      <c r="IU16" s="112"/>
      <c r="IV16" s="112"/>
      <c r="IW16" s="112"/>
      <c r="IX16" s="112"/>
      <c r="IY16" s="112"/>
      <c r="IZ16" s="112"/>
      <c r="JA16" s="112"/>
      <c r="JB16" s="112"/>
      <c r="JC16" s="112"/>
      <c r="JD16" s="112"/>
      <c r="JE16" s="112"/>
      <c r="JF16" s="112"/>
      <c r="JG16" s="112"/>
      <c r="JH16" s="112"/>
      <c r="JI16" s="112"/>
      <c r="JJ16" s="112"/>
      <c r="JK16" s="112"/>
      <c r="JL16" s="112"/>
      <c r="JM16" s="112"/>
      <c r="JN16" s="112"/>
      <c r="JO16" s="112"/>
      <c r="JP16" s="112"/>
      <c r="JQ16" s="112"/>
      <c r="JR16" s="112"/>
      <c r="JS16" s="112"/>
      <c r="JT16" s="112"/>
      <c r="JU16" s="112"/>
      <c r="JV16" s="112"/>
      <c r="JW16" s="112"/>
      <c r="JX16" s="112"/>
      <c r="JY16" s="112"/>
      <c r="JZ16" s="112"/>
      <c r="KA16" s="112"/>
      <c r="KB16" s="112"/>
      <c r="KC16" s="112"/>
      <c r="KD16" s="112"/>
      <c r="KE16" s="112"/>
      <c r="KF16" s="112"/>
      <c r="KG16" s="112"/>
      <c r="KH16" s="112"/>
      <c r="KI16" s="112"/>
      <c r="KJ16" s="112"/>
      <c r="KK16" s="112"/>
      <c r="KL16" s="112"/>
      <c r="KM16" s="112"/>
      <c r="KN16" s="112"/>
      <c r="KO16" s="112"/>
      <c r="KP16" s="112"/>
      <c r="KQ16" s="112"/>
      <c r="KR16" s="112"/>
      <c r="KS16" s="112"/>
      <c r="KT16" s="112"/>
      <c r="KU16" s="112"/>
      <c r="KV16" s="112"/>
      <c r="KW16" s="112"/>
      <c r="KX16" s="112"/>
      <c r="KY16" s="112"/>
      <c r="KZ16" s="112"/>
      <c r="LA16" s="112"/>
      <c r="LB16" s="112"/>
      <c r="LC16" s="112"/>
      <c r="LD16" s="112"/>
      <c r="LE16" s="112"/>
      <c r="LF16" s="112"/>
      <c r="LG16" s="112"/>
      <c r="LH16" s="112"/>
      <c r="LI16" s="112"/>
      <c r="LJ16" s="112"/>
      <c r="LK16" s="112"/>
      <c r="LL16" s="112"/>
      <c r="LM16" s="112"/>
      <c r="LN16" s="112"/>
      <c r="LO16" s="112"/>
      <c r="LP16" s="112"/>
      <c r="LQ16" s="112"/>
      <c r="LR16" s="112"/>
      <c r="LS16" s="112"/>
      <c r="LT16" s="112"/>
      <c r="LU16" s="112"/>
      <c r="LV16" s="112"/>
      <c r="LW16" s="112"/>
      <c r="LX16" s="112"/>
      <c r="LY16" s="112"/>
      <c r="LZ16" s="112"/>
      <c r="MA16" s="112"/>
      <c r="MB16" s="112"/>
      <c r="MC16" s="112"/>
      <c r="MD16" s="112"/>
      <c r="ME16" s="112"/>
      <c r="MF16" s="112"/>
      <c r="MG16" s="112"/>
      <c r="MH16" s="112"/>
      <c r="MI16" s="112"/>
      <c r="MJ16" s="112"/>
      <c r="MK16" s="112"/>
      <c r="ML16" s="112"/>
      <c r="MM16" s="112"/>
      <c r="MN16" s="112"/>
      <c r="MO16" s="112"/>
      <c r="MP16" s="112"/>
      <c r="MQ16" s="112"/>
      <c r="MR16" s="112"/>
      <c r="MS16" s="112"/>
      <c r="MT16" s="112"/>
      <c r="MU16" s="112"/>
      <c r="MV16" s="112"/>
      <c r="MW16" s="112"/>
      <c r="MX16" s="112"/>
      <c r="MY16" s="112"/>
      <c r="MZ16" s="112"/>
      <c r="NA16" s="112"/>
      <c r="NB16" s="112"/>
      <c r="NC16" s="112"/>
      <c r="ND16" s="112"/>
      <c r="NE16" s="112"/>
      <c r="NF16" s="112"/>
      <c r="NG16" s="112"/>
      <c r="NH16" s="112"/>
      <c r="NI16" s="112"/>
      <c r="NJ16" s="112"/>
      <c r="NK16" s="112"/>
      <c r="NL16" s="112"/>
      <c r="NM16" s="112"/>
      <c r="NN16" s="112"/>
      <c r="NO16" s="112"/>
      <c r="NP16" s="112"/>
      <c r="NQ16" s="112"/>
      <c r="NR16" s="112"/>
      <c r="NS16" s="112"/>
    </row>
    <row r="17" spans="2:383" s="65" customFormat="1" ht="21" customHeight="1">
      <c r="B17" s="105"/>
      <c r="C17" s="194" t="s">
        <v>95</v>
      </c>
      <c r="D17" s="128" t="s">
        <v>96</v>
      </c>
      <c r="E17" s="129"/>
      <c r="F17" s="128" t="s">
        <v>97</v>
      </c>
      <c r="G17" s="130"/>
      <c r="H17" s="48"/>
      <c r="I17" s="109"/>
      <c r="J17" s="48"/>
      <c r="K17" s="109"/>
      <c r="L17" s="48"/>
      <c r="M17" s="109"/>
      <c r="N17" s="48"/>
      <c r="O17" s="109"/>
      <c r="P17" s="110"/>
      <c r="Q17" s="111"/>
      <c r="R17" s="112"/>
      <c r="S17" s="112"/>
      <c r="T17" s="112"/>
      <c r="U17" s="113"/>
      <c r="V17" s="114"/>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c r="CM17" s="112"/>
      <c r="CN17" s="112"/>
      <c r="CO17" s="112"/>
      <c r="CP17" s="112"/>
      <c r="CQ17" s="112"/>
      <c r="CR17" s="112"/>
      <c r="CS17" s="112"/>
      <c r="CT17" s="112"/>
      <c r="CU17" s="112"/>
      <c r="CV17" s="112"/>
      <c r="CW17" s="112"/>
      <c r="CX17" s="112"/>
      <c r="CY17" s="112"/>
      <c r="CZ17" s="112"/>
      <c r="DA17" s="112"/>
      <c r="DB17" s="112"/>
      <c r="DC17" s="112"/>
      <c r="DD17" s="112"/>
      <c r="DE17" s="112"/>
      <c r="DF17" s="112"/>
      <c r="DG17" s="112"/>
      <c r="DH17" s="112"/>
      <c r="DI17" s="112"/>
      <c r="DJ17" s="112"/>
      <c r="DK17" s="112"/>
      <c r="DL17" s="112"/>
      <c r="DM17" s="112"/>
      <c r="DN17" s="112"/>
      <c r="DO17" s="112"/>
      <c r="DP17" s="112"/>
      <c r="DQ17" s="112"/>
      <c r="DR17" s="112"/>
      <c r="DS17" s="112"/>
      <c r="DT17" s="112"/>
      <c r="DU17" s="112"/>
      <c r="DV17" s="112"/>
      <c r="DW17" s="112"/>
      <c r="DX17" s="112"/>
      <c r="DY17" s="112"/>
      <c r="DZ17" s="112"/>
      <c r="EA17" s="112"/>
      <c r="EB17" s="112"/>
      <c r="EC17" s="112"/>
      <c r="ED17" s="112"/>
      <c r="EE17" s="112"/>
      <c r="EF17" s="112"/>
      <c r="EG17" s="112"/>
      <c r="EH17" s="112"/>
      <c r="EI17" s="112"/>
      <c r="EJ17" s="112"/>
      <c r="EK17" s="112"/>
      <c r="EL17" s="112"/>
      <c r="EM17" s="112"/>
      <c r="EN17" s="112"/>
      <c r="EO17" s="112"/>
      <c r="EP17" s="112"/>
      <c r="EQ17" s="112"/>
      <c r="ER17" s="112"/>
      <c r="ES17" s="112"/>
      <c r="ET17" s="112"/>
      <c r="EU17" s="112"/>
      <c r="EV17" s="112"/>
      <c r="EW17" s="112"/>
      <c r="EX17" s="112"/>
      <c r="EY17" s="112"/>
      <c r="EZ17" s="112"/>
      <c r="FA17" s="112"/>
      <c r="FB17" s="112"/>
      <c r="FC17" s="112"/>
      <c r="FD17" s="112"/>
      <c r="FE17" s="112"/>
      <c r="FF17" s="112"/>
      <c r="FG17" s="112"/>
      <c r="FH17" s="112"/>
      <c r="FI17" s="112"/>
      <c r="FJ17" s="112"/>
      <c r="FK17" s="112"/>
      <c r="FL17" s="112"/>
      <c r="FM17" s="112"/>
      <c r="FN17" s="112"/>
      <c r="FO17" s="112"/>
      <c r="FP17" s="112"/>
      <c r="FQ17" s="112"/>
      <c r="FR17" s="112"/>
      <c r="FS17" s="112"/>
      <c r="FT17" s="112"/>
      <c r="FU17" s="112"/>
      <c r="FV17" s="112"/>
      <c r="FW17" s="112"/>
      <c r="FX17" s="112"/>
      <c r="FY17" s="112"/>
      <c r="FZ17" s="112"/>
      <c r="GA17" s="112"/>
      <c r="GB17" s="112"/>
      <c r="GC17" s="112"/>
      <c r="GD17" s="112"/>
      <c r="GE17" s="112"/>
      <c r="GF17" s="112"/>
      <c r="GG17" s="112"/>
      <c r="GH17" s="112"/>
      <c r="GI17" s="112"/>
      <c r="GJ17" s="112"/>
      <c r="GK17" s="112"/>
      <c r="GL17" s="112"/>
      <c r="GM17" s="112"/>
      <c r="GN17" s="112"/>
      <c r="GO17" s="112"/>
      <c r="GP17" s="112"/>
      <c r="GQ17" s="112"/>
      <c r="GR17" s="112"/>
      <c r="GS17" s="112"/>
      <c r="GT17" s="112"/>
      <c r="GU17" s="112"/>
      <c r="GV17" s="112"/>
      <c r="GW17" s="112"/>
      <c r="GX17" s="112"/>
      <c r="GY17" s="112"/>
      <c r="GZ17" s="112"/>
      <c r="HA17" s="112"/>
      <c r="HB17" s="112"/>
      <c r="HC17" s="112"/>
      <c r="HD17" s="112"/>
      <c r="HE17" s="112"/>
      <c r="HF17" s="112"/>
      <c r="HG17" s="112"/>
      <c r="HH17" s="112"/>
      <c r="HI17" s="112"/>
      <c r="HJ17" s="112"/>
      <c r="HK17" s="112"/>
      <c r="HL17" s="112"/>
      <c r="HM17" s="112"/>
      <c r="HN17" s="112"/>
      <c r="HO17" s="112"/>
      <c r="HP17" s="112"/>
      <c r="HQ17" s="112"/>
      <c r="HR17" s="112"/>
      <c r="HS17" s="112"/>
      <c r="HT17" s="112"/>
      <c r="HU17" s="112"/>
      <c r="HV17" s="112"/>
      <c r="HW17" s="112"/>
      <c r="HX17" s="112"/>
      <c r="HY17" s="112"/>
      <c r="HZ17" s="112"/>
      <c r="IA17" s="112"/>
      <c r="IB17" s="112"/>
      <c r="IC17" s="112"/>
      <c r="ID17" s="112"/>
      <c r="IE17" s="112"/>
      <c r="IF17" s="112"/>
      <c r="IG17" s="112"/>
      <c r="IH17" s="112"/>
      <c r="II17" s="112"/>
      <c r="IJ17" s="112"/>
      <c r="IK17" s="112"/>
      <c r="IL17" s="112"/>
      <c r="IM17" s="112"/>
      <c r="IN17" s="112"/>
      <c r="IO17" s="112"/>
      <c r="IP17" s="112"/>
      <c r="IQ17" s="112"/>
      <c r="IR17" s="112"/>
      <c r="IS17" s="112"/>
      <c r="IT17" s="112"/>
      <c r="IU17" s="112"/>
      <c r="IV17" s="112"/>
      <c r="IW17" s="112"/>
      <c r="IX17" s="112"/>
      <c r="IY17" s="112"/>
      <c r="IZ17" s="112"/>
      <c r="JA17" s="112"/>
      <c r="JB17" s="112"/>
      <c r="JC17" s="112"/>
      <c r="JD17" s="112"/>
      <c r="JE17" s="112"/>
      <c r="JF17" s="112"/>
      <c r="JG17" s="112"/>
      <c r="JH17" s="112"/>
      <c r="JI17" s="112"/>
      <c r="JJ17" s="112"/>
      <c r="JK17" s="112"/>
      <c r="JL17" s="112"/>
      <c r="JM17" s="112"/>
      <c r="JN17" s="112"/>
      <c r="JO17" s="112"/>
      <c r="JP17" s="112"/>
      <c r="JQ17" s="112"/>
      <c r="JR17" s="112"/>
      <c r="JS17" s="112"/>
      <c r="JT17" s="112"/>
      <c r="JU17" s="112"/>
      <c r="JV17" s="112"/>
      <c r="JW17" s="112"/>
      <c r="JX17" s="112"/>
      <c r="JY17" s="112"/>
      <c r="JZ17" s="112"/>
      <c r="KA17" s="112"/>
      <c r="KB17" s="112"/>
      <c r="KC17" s="112"/>
      <c r="KD17" s="112"/>
      <c r="KE17" s="112"/>
      <c r="KF17" s="112"/>
      <c r="KG17" s="112"/>
      <c r="KH17" s="112"/>
      <c r="KI17" s="112"/>
      <c r="KJ17" s="112"/>
      <c r="KK17" s="112"/>
      <c r="KL17" s="112"/>
      <c r="KM17" s="112"/>
      <c r="KN17" s="112"/>
      <c r="KO17" s="112"/>
      <c r="KP17" s="112"/>
      <c r="KQ17" s="112"/>
      <c r="KR17" s="112"/>
      <c r="KS17" s="112"/>
      <c r="KT17" s="112"/>
      <c r="KU17" s="112"/>
      <c r="KV17" s="112"/>
      <c r="KW17" s="112"/>
      <c r="KX17" s="112"/>
      <c r="KY17" s="112"/>
      <c r="KZ17" s="112"/>
      <c r="LA17" s="112"/>
      <c r="LB17" s="112"/>
      <c r="LC17" s="112"/>
      <c r="LD17" s="112"/>
      <c r="LE17" s="112"/>
      <c r="LF17" s="112"/>
      <c r="LG17" s="112"/>
      <c r="LH17" s="112"/>
      <c r="LI17" s="112"/>
      <c r="LJ17" s="112"/>
      <c r="LK17" s="112"/>
      <c r="LL17" s="112"/>
      <c r="LM17" s="112"/>
      <c r="LN17" s="112"/>
      <c r="LO17" s="112"/>
      <c r="LP17" s="112"/>
      <c r="LQ17" s="112"/>
      <c r="LR17" s="112"/>
      <c r="LS17" s="112"/>
      <c r="LT17" s="112"/>
      <c r="LU17" s="112"/>
      <c r="LV17" s="112"/>
      <c r="LW17" s="112"/>
      <c r="LX17" s="112"/>
      <c r="LY17" s="112"/>
      <c r="LZ17" s="112"/>
      <c r="MA17" s="112"/>
      <c r="MB17" s="112"/>
      <c r="MC17" s="112"/>
      <c r="MD17" s="112"/>
      <c r="ME17" s="112"/>
      <c r="MF17" s="112"/>
      <c r="MG17" s="112"/>
      <c r="MH17" s="112"/>
      <c r="MI17" s="112"/>
      <c r="MJ17" s="112"/>
      <c r="MK17" s="112"/>
      <c r="ML17" s="112"/>
      <c r="MM17" s="112"/>
      <c r="MN17" s="112"/>
      <c r="MO17" s="112"/>
      <c r="MP17" s="112"/>
      <c r="MQ17" s="112"/>
      <c r="MR17" s="112"/>
      <c r="MS17" s="112"/>
      <c r="MT17" s="112"/>
      <c r="MU17" s="112"/>
      <c r="MV17" s="112"/>
      <c r="MW17" s="112"/>
      <c r="MX17" s="112"/>
      <c r="MY17" s="112"/>
      <c r="MZ17" s="112"/>
      <c r="NA17" s="112"/>
      <c r="NB17" s="112"/>
      <c r="NC17" s="112"/>
      <c r="ND17" s="112"/>
      <c r="NE17" s="112"/>
      <c r="NF17" s="112"/>
      <c r="NG17" s="112"/>
      <c r="NH17" s="112"/>
      <c r="NI17" s="112"/>
      <c r="NJ17" s="112"/>
      <c r="NK17" s="112"/>
      <c r="NL17" s="112"/>
      <c r="NM17" s="112"/>
      <c r="NN17" s="112"/>
      <c r="NO17" s="112"/>
      <c r="NP17" s="112"/>
      <c r="NQ17" s="112"/>
      <c r="NR17" s="112"/>
      <c r="NS17" s="112"/>
    </row>
    <row r="18" spans="2:383" s="65" customFormat="1" ht="21" customHeight="1">
      <c r="B18" s="105"/>
      <c r="C18" s="194"/>
      <c r="D18" s="128" t="s">
        <v>98</v>
      </c>
      <c r="E18" s="129"/>
      <c r="F18" s="128" t="s">
        <v>99</v>
      </c>
      <c r="G18" s="130">
        <v>40000</v>
      </c>
      <c r="H18" s="48"/>
      <c r="I18" s="109"/>
      <c r="J18" s="48"/>
      <c r="K18" s="109"/>
      <c r="L18" s="48"/>
      <c r="M18" s="109"/>
      <c r="N18" s="48"/>
      <c r="O18" s="109"/>
      <c r="P18" s="110"/>
      <c r="Q18" s="111"/>
      <c r="R18" s="112"/>
      <c r="S18" s="112"/>
      <c r="T18" s="112"/>
      <c r="U18" s="113"/>
      <c r="V18" s="114"/>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c r="BZ18" s="112"/>
      <c r="CA18" s="112"/>
      <c r="CB18" s="112"/>
      <c r="CC18" s="112"/>
      <c r="CD18" s="112"/>
      <c r="CE18" s="112"/>
      <c r="CF18" s="112"/>
      <c r="CG18" s="112"/>
      <c r="CH18" s="112"/>
      <c r="CI18" s="112"/>
      <c r="CJ18" s="112"/>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2"/>
      <c r="GJ18" s="112"/>
      <c r="GK18" s="112"/>
      <c r="GL18" s="112"/>
      <c r="GM18" s="112"/>
      <c r="GN18" s="112"/>
      <c r="GO18" s="112"/>
      <c r="GP18" s="112"/>
      <c r="GQ18" s="112"/>
      <c r="GR18" s="112"/>
      <c r="GS18" s="112"/>
      <c r="GT18" s="112"/>
      <c r="GU18" s="112"/>
      <c r="GV18" s="112"/>
      <c r="GW18" s="112"/>
      <c r="GX18" s="112"/>
      <c r="GY18" s="112"/>
      <c r="GZ18" s="112"/>
      <c r="HA18" s="112"/>
      <c r="HB18" s="112"/>
      <c r="HC18" s="112"/>
      <c r="HD18" s="112"/>
      <c r="HE18" s="112"/>
      <c r="HF18" s="112"/>
      <c r="HG18" s="112"/>
      <c r="HH18" s="112"/>
      <c r="HI18" s="112"/>
      <c r="HJ18" s="112"/>
      <c r="HK18" s="112"/>
      <c r="HL18" s="112"/>
      <c r="HM18" s="112"/>
      <c r="HN18" s="112"/>
      <c r="HO18" s="112"/>
      <c r="HP18" s="112"/>
      <c r="HQ18" s="112"/>
      <c r="HR18" s="112"/>
      <c r="HS18" s="112"/>
      <c r="HT18" s="112"/>
      <c r="HU18" s="112"/>
      <c r="HV18" s="112"/>
      <c r="HW18" s="112"/>
      <c r="HX18" s="112"/>
      <c r="HY18" s="112"/>
      <c r="HZ18" s="112"/>
      <c r="IA18" s="112"/>
      <c r="IB18" s="112"/>
      <c r="IC18" s="112"/>
      <c r="ID18" s="112"/>
      <c r="IE18" s="112"/>
      <c r="IF18" s="112"/>
      <c r="IG18" s="112"/>
      <c r="IH18" s="112"/>
      <c r="II18" s="112"/>
      <c r="IJ18" s="112"/>
      <c r="IK18" s="112"/>
      <c r="IL18" s="112"/>
      <c r="IM18" s="112"/>
      <c r="IN18" s="112"/>
      <c r="IO18" s="112"/>
      <c r="IP18" s="112"/>
      <c r="IQ18" s="112"/>
      <c r="IR18" s="112"/>
      <c r="IS18" s="112"/>
      <c r="IT18" s="112"/>
      <c r="IU18" s="112"/>
      <c r="IV18" s="112"/>
      <c r="IW18" s="112"/>
      <c r="IX18" s="112"/>
      <c r="IY18" s="112"/>
      <c r="IZ18" s="112"/>
      <c r="JA18" s="112"/>
      <c r="JB18" s="112"/>
      <c r="JC18" s="112"/>
      <c r="JD18" s="112"/>
      <c r="JE18" s="112"/>
      <c r="JF18" s="112"/>
      <c r="JG18" s="112"/>
      <c r="JH18" s="112"/>
      <c r="JI18" s="112"/>
      <c r="JJ18" s="112"/>
      <c r="JK18" s="112"/>
      <c r="JL18" s="112"/>
      <c r="JM18" s="112"/>
      <c r="JN18" s="112"/>
      <c r="JO18" s="112"/>
      <c r="JP18" s="112"/>
      <c r="JQ18" s="112"/>
      <c r="JR18" s="112"/>
      <c r="JS18" s="112"/>
      <c r="JT18" s="112"/>
      <c r="JU18" s="112"/>
      <c r="JV18" s="112"/>
      <c r="JW18" s="112"/>
      <c r="JX18" s="112"/>
      <c r="JY18" s="112"/>
      <c r="JZ18" s="112"/>
      <c r="KA18" s="112"/>
      <c r="KB18" s="112"/>
      <c r="KC18" s="112"/>
      <c r="KD18" s="112"/>
      <c r="KE18" s="112"/>
      <c r="KF18" s="112"/>
      <c r="KG18" s="112"/>
      <c r="KH18" s="112"/>
      <c r="KI18" s="112"/>
      <c r="KJ18" s="112"/>
      <c r="KK18" s="112"/>
      <c r="KL18" s="112"/>
      <c r="KM18" s="112"/>
      <c r="KN18" s="112"/>
      <c r="KO18" s="112"/>
      <c r="KP18" s="112"/>
      <c r="KQ18" s="112"/>
      <c r="KR18" s="112"/>
      <c r="KS18" s="112"/>
      <c r="KT18" s="112"/>
      <c r="KU18" s="112"/>
      <c r="KV18" s="112"/>
      <c r="KW18" s="112"/>
      <c r="KX18" s="112"/>
      <c r="KY18" s="112"/>
      <c r="KZ18" s="112"/>
      <c r="LA18" s="112"/>
      <c r="LB18" s="112"/>
      <c r="LC18" s="112"/>
      <c r="LD18" s="112"/>
      <c r="LE18" s="112"/>
      <c r="LF18" s="112"/>
      <c r="LG18" s="112"/>
      <c r="LH18" s="112"/>
      <c r="LI18" s="112"/>
      <c r="LJ18" s="112"/>
      <c r="LK18" s="112"/>
      <c r="LL18" s="112"/>
      <c r="LM18" s="112"/>
      <c r="LN18" s="112"/>
      <c r="LO18" s="112"/>
      <c r="LP18" s="112"/>
      <c r="LQ18" s="112"/>
      <c r="LR18" s="112"/>
      <c r="LS18" s="112"/>
      <c r="LT18" s="112"/>
      <c r="LU18" s="112"/>
      <c r="LV18" s="112"/>
      <c r="LW18" s="112"/>
      <c r="LX18" s="112"/>
      <c r="LY18" s="112"/>
      <c r="LZ18" s="112"/>
      <c r="MA18" s="112"/>
      <c r="MB18" s="112"/>
      <c r="MC18" s="112"/>
      <c r="MD18" s="112"/>
      <c r="ME18" s="112"/>
      <c r="MF18" s="112"/>
      <c r="MG18" s="112"/>
      <c r="MH18" s="112"/>
      <c r="MI18" s="112"/>
      <c r="MJ18" s="112"/>
      <c r="MK18" s="112"/>
      <c r="ML18" s="112"/>
      <c r="MM18" s="112"/>
      <c r="MN18" s="112"/>
      <c r="MO18" s="112"/>
      <c r="MP18" s="112"/>
      <c r="MQ18" s="112"/>
      <c r="MR18" s="112"/>
      <c r="MS18" s="112"/>
      <c r="MT18" s="112"/>
      <c r="MU18" s="112"/>
      <c r="MV18" s="112"/>
      <c r="MW18" s="112"/>
      <c r="MX18" s="112"/>
      <c r="MY18" s="112"/>
      <c r="MZ18" s="112"/>
      <c r="NA18" s="112"/>
      <c r="NB18" s="112"/>
      <c r="NC18" s="112"/>
      <c r="ND18" s="112"/>
      <c r="NE18" s="112"/>
      <c r="NF18" s="112"/>
      <c r="NG18" s="112"/>
      <c r="NH18" s="112"/>
      <c r="NI18" s="112"/>
      <c r="NJ18" s="112"/>
      <c r="NK18" s="112"/>
      <c r="NL18" s="112"/>
      <c r="NM18" s="112"/>
      <c r="NN18" s="112"/>
      <c r="NO18" s="112"/>
      <c r="NP18" s="112"/>
      <c r="NQ18" s="112"/>
      <c r="NR18" s="112"/>
      <c r="NS18" s="112"/>
    </row>
    <row r="19" spans="2:383" s="65" customFormat="1" ht="21" customHeight="1">
      <c r="B19" s="105"/>
      <c r="C19" s="194"/>
      <c r="D19" s="128" t="s">
        <v>100</v>
      </c>
      <c r="E19" s="129"/>
      <c r="F19" s="128" t="s">
        <v>101</v>
      </c>
      <c r="G19" s="130">
        <v>30000</v>
      </c>
      <c r="H19" s="48"/>
      <c r="I19" s="109"/>
      <c r="J19" s="48"/>
      <c r="K19" s="109"/>
      <c r="L19" s="48"/>
      <c r="M19" s="109"/>
      <c r="N19" s="48"/>
      <c r="O19" s="109"/>
      <c r="P19" s="110"/>
      <c r="Q19" s="111"/>
      <c r="R19" s="112"/>
      <c r="S19" s="112"/>
      <c r="T19" s="112"/>
      <c r="U19" s="113"/>
      <c r="V19" s="114"/>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2"/>
      <c r="BU19" s="112"/>
      <c r="BV19" s="112"/>
      <c r="BW19" s="112"/>
      <c r="BX19" s="112"/>
      <c r="BY19" s="112"/>
      <c r="BZ19" s="112"/>
      <c r="CA19" s="112"/>
      <c r="CB19" s="112"/>
      <c r="CC19" s="112"/>
      <c r="CD19" s="112"/>
      <c r="CE19" s="112"/>
      <c r="CF19" s="112"/>
      <c r="CG19" s="112"/>
      <c r="CH19" s="112"/>
      <c r="CI19" s="112"/>
      <c r="CJ19" s="112"/>
      <c r="CK19" s="112"/>
      <c r="CL19" s="112"/>
      <c r="CM19" s="112"/>
      <c r="CN19" s="112"/>
      <c r="CO19" s="112"/>
      <c r="CP19" s="112"/>
      <c r="CQ19" s="112"/>
      <c r="CR19" s="112"/>
      <c r="CS19" s="112"/>
      <c r="CT19" s="112"/>
      <c r="CU19" s="112"/>
      <c r="CV19" s="112"/>
      <c r="CW19" s="112"/>
      <c r="CX19" s="112"/>
      <c r="CY19" s="112"/>
      <c r="CZ19" s="112"/>
      <c r="DA19" s="112"/>
      <c r="DB19" s="112"/>
      <c r="DC19" s="112"/>
      <c r="DD19" s="112"/>
      <c r="DE19" s="112"/>
      <c r="DF19" s="112"/>
      <c r="DG19" s="112"/>
      <c r="DH19" s="112"/>
      <c r="DI19" s="112"/>
      <c r="DJ19" s="112"/>
      <c r="DK19" s="112"/>
      <c r="DL19" s="112"/>
      <c r="DM19" s="112"/>
      <c r="DN19" s="112"/>
      <c r="DO19" s="112"/>
      <c r="DP19" s="112"/>
      <c r="DQ19" s="112"/>
      <c r="DR19" s="112"/>
      <c r="DS19" s="112"/>
      <c r="DT19" s="112"/>
      <c r="DU19" s="112"/>
      <c r="DV19" s="112"/>
      <c r="DW19" s="112"/>
      <c r="DX19" s="112"/>
      <c r="DY19" s="112"/>
      <c r="DZ19" s="112"/>
      <c r="EA19" s="112"/>
      <c r="EB19" s="112"/>
      <c r="EC19" s="112"/>
      <c r="ED19" s="112"/>
      <c r="EE19" s="112"/>
      <c r="EF19" s="112"/>
      <c r="EG19" s="112"/>
      <c r="EH19" s="112"/>
      <c r="EI19" s="112"/>
      <c r="EJ19" s="112"/>
      <c r="EK19" s="112"/>
      <c r="EL19" s="112"/>
      <c r="EM19" s="112"/>
      <c r="EN19" s="112"/>
      <c r="EO19" s="112"/>
      <c r="EP19" s="112"/>
      <c r="EQ19" s="112"/>
      <c r="ER19" s="112"/>
      <c r="ES19" s="112"/>
      <c r="ET19" s="112"/>
      <c r="EU19" s="112"/>
      <c r="EV19" s="112"/>
      <c r="EW19" s="112"/>
      <c r="EX19" s="112"/>
      <c r="EY19" s="112"/>
      <c r="EZ19" s="112"/>
      <c r="FA19" s="112"/>
      <c r="FB19" s="112"/>
      <c r="FC19" s="112"/>
      <c r="FD19" s="112"/>
      <c r="FE19" s="112"/>
      <c r="FF19" s="112"/>
      <c r="FG19" s="112"/>
      <c r="FH19" s="112"/>
      <c r="FI19" s="112"/>
      <c r="FJ19" s="112"/>
      <c r="FK19" s="112"/>
      <c r="FL19" s="112"/>
      <c r="FM19" s="112"/>
      <c r="FN19" s="112"/>
      <c r="FO19" s="112"/>
      <c r="FP19" s="112"/>
      <c r="FQ19" s="112"/>
      <c r="FR19" s="112"/>
      <c r="FS19" s="112"/>
      <c r="FT19" s="112"/>
      <c r="FU19" s="112"/>
      <c r="FV19" s="112"/>
      <c r="FW19" s="112"/>
      <c r="FX19" s="112"/>
      <c r="FY19" s="112"/>
      <c r="FZ19" s="112"/>
      <c r="GA19" s="112"/>
      <c r="GB19" s="112"/>
      <c r="GC19" s="112"/>
      <c r="GD19" s="112"/>
      <c r="GE19" s="112"/>
      <c r="GF19" s="112"/>
      <c r="GG19" s="112"/>
      <c r="GH19" s="112"/>
      <c r="GI19" s="112"/>
      <c r="GJ19" s="112"/>
      <c r="GK19" s="112"/>
      <c r="GL19" s="112"/>
      <c r="GM19" s="112"/>
      <c r="GN19" s="112"/>
      <c r="GO19" s="112"/>
      <c r="GP19" s="112"/>
      <c r="GQ19" s="112"/>
      <c r="GR19" s="112"/>
      <c r="GS19" s="112"/>
      <c r="GT19" s="112"/>
      <c r="GU19" s="112"/>
      <c r="GV19" s="112"/>
      <c r="GW19" s="112"/>
      <c r="GX19" s="112"/>
      <c r="GY19" s="112"/>
      <c r="GZ19" s="112"/>
      <c r="HA19" s="112"/>
      <c r="HB19" s="112"/>
      <c r="HC19" s="112"/>
      <c r="HD19" s="112"/>
      <c r="HE19" s="112"/>
      <c r="HF19" s="112"/>
      <c r="HG19" s="112"/>
      <c r="HH19" s="112"/>
      <c r="HI19" s="112"/>
      <c r="HJ19" s="112"/>
      <c r="HK19" s="112"/>
      <c r="HL19" s="112"/>
      <c r="HM19" s="112"/>
      <c r="HN19" s="112"/>
      <c r="HO19" s="112"/>
      <c r="HP19" s="112"/>
      <c r="HQ19" s="112"/>
      <c r="HR19" s="112"/>
      <c r="HS19" s="112"/>
      <c r="HT19" s="112"/>
      <c r="HU19" s="112"/>
      <c r="HV19" s="112"/>
      <c r="HW19" s="112"/>
      <c r="HX19" s="112"/>
      <c r="HY19" s="112"/>
      <c r="HZ19" s="112"/>
      <c r="IA19" s="112"/>
      <c r="IB19" s="112"/>
      <c r="IC19" s="112"/>
      <c r="ID19" s="112"/>
      <c r="IE19" s="112"/>
      <c r="IF19" s="112"/>
      <c r="IG19" s="112"/>
      <c r="IH19" s="112"/>
      <c r="II19" s="112"/>
      <c r="IJ19" s="112"/>
      <c r="IK19" s="112"/>
      <c r="IL19" s="112"/>
      <c r="IM19" s="112"/>
      <c r="IN19" s="112"/>
      <c r="IO19" s="112"/>
      <c r="IP19" s="112"/>
      <c r="IQ19" s="112"/>
      <c r="IR19" s="112"/>
      <c r="IS19" s="112"/>
      <c r="IT19" s="112"/>
      <c r="IU19" s="112"/>
      <c r="IV19" s="112"/>
      <c r="IW19" s="112"/>
      <c r="IX19" s="112"/>
      <c r="IY19" s="112"/>
      <c r="IZ19" s="112"/>
      <c r="JA19" s="112"/>
      <c r="JB19" s="112"/>
      <c r="JC19" s="112"/>
      <c r="JD19" s="112"/>
      <c r="JE19" s="112"/>
      <c r="JF19" s="112"/>
      <c r="JG19" s="112"/>
      <c r="JH19" s="112"/>
      <c r="JI19" s="112"/>
      <c r="JJ19" s="112"/>
      <c r="JK19" s="112"/>
      <c r="JL19" s="112"/>
      <c r="JM19" s="112"/>
      <c r="JN19" s="112"/>
      <c r="JO19" s="112"/>
      <c r="JP19" s="112"/>
      <c r="JQ19" s="112"/>
      <c r="JR19" s="112"/>
      <c r="JS19" s="112"/>
      <c r="JT19" s="112"/>
      <c r="JU19" s="112"/>
      <c r="JV19" s="112"/>
      <c r="JW19" s="112"/>
      <c r="JX19" s="112"/>
      <c r="JY19" s="112"/>
      <c r="JZ19" s="112"/>
      <c r="KA19" s="112"/>
      <c r="KB19" s="112"/>
      <c r="KC19" s="112"/>
      <c r="KD19" s="112"/>
      <c r="KE19" s="112"/>
      <c r="KF19" s="112"/>
      <c r="KG19" s="112"/>
      <c r="KH19" s="112"/>
      <c r="KI19" s="112"/>
      <c r="KJ19" s="112"/>
      <c r="KK19" s="112"/>
      <c r="KL19" s="112"/>
      <c r="KM19" s="112"/>
      <c r="KN19" s="112"/>
      <c r="KO19" s="112"/>
      <c r="KP19" s="112"/>
      <c r="KQ19" s="112"/>
      <c r="KR19" s="112"/>
      <c r="KS19" s="112"/>
      <c r="KT19" s="112"/>
      <c r="KU19" s="112"/>
      <c r="KV19" s="112"/>
      <c r="KW19" s="112"/>
      <c r="KX19" s="112"/>
      <c r="KY19" s="112"/>
      <c r="KZ19" s="112"/>
      <c r="LA19" s="112"/>
      <c r="LB19" s="112"/>
      <c r="LC19" s="112"/>
      <c r="LD19" s="112"/>
      <c r="LE19" s="112"/>
      <c r="LF19" s="112"/>
      <c r="LG19" s="112"/>
      <c r="LH19" s="112"/>
      <c r="LI19" s="112"/>
      <c r="LJ19" s="112"/>
      <c r="LK19" s="112"/>
      <c r="LL19" s="112"/>
      <c r="LM19" s="112"/>
      <c r="LN19" s="112"/>
      <c r="LO19" s="112"/>
      <c r="LP19" s="112"/>
      <c r="LQ19" s="112"/>
      <c r="LR19" s="112"/>
      <c r="LS19" s="112"/>
      <c r="LT19" s="112"/>
      <c r="LU19" s="112"/>
      <c r="LV19" s="112"/>
      <c r="LW19" s="112"/>
      <c r="LX19" s="112"/>
      <c r="LY19" s="112"/>
      <c r="LZ19" s="112"/>
      <c r="MA19" s="112"/>
      <c r="MB19" s="112"/>
      <c r="MC19" s="112"/>
      <c r="MD19" s="112"/>
      <c r="ME19" s="112"/>
      <c r="MF19" s="112"/>
      <c r="MG19" s="112"/>
      <c r="MH19" s="112"/>
      <c r="MI19" s="112"/>
      <c r="MJ19" s="112"/>
      <c r="MK19" s="112"/>
      <c r="ML19" s="112"/>
      <c r="MM19" s="112"/>
      <c r="MN19" s="112"/>
      <c r="MO19" s="112"/>
      <c r="MP19" s="112"/>
      <c r="MQ19" s="112"/>
      <c r="MR19" s="112"/>
      <c r="MS19" s="112"/>
      <c r="MT19" s="112"/>
      <c r="MU19" s="112"/>
      <c r="MV19" s="112"/>
      <c r="MW19" s="112"/>
      <c r="MX19" s="112"/>
      <c r="MY19" s="112"/>
      <c r="MZ19" s="112"/>
      <c r="NA19" s="112"/>
      <c r="NB19" s="112"/>
      <c r="NC19" s="112"/>
      <c r="ND19" s="112"/>
      <c r="NE19" s="112"/>
      <c r="NF19" s="112"/>
      <c r="NG19" s="112"/>
      <c r="NH19" s="112"/>
      <c r="NI19" s="112"/>
      <c r="NJ19" s="112"/>
      <c r="NK19" s="112"/>
      <c r="NL19" s="112"/>
      <c r="NM19" s="112"/>
      <c r="NN19" s="112"/>
      <c r="NO19" s="112"/>
      <c r="NP19" s="112"/>
      <c r="NQ19" s="112"/>
      <c r="NR19" s="112"/>
      <c r="NS19" s="112"/>
    </row>
    <row r="20" spans="2:383" s="65" customFormat="1" ht="21" customHeight="1">
      <c r="B20" s="105"/>
      <c r="C20" s="194"/>
      <c r="D20" s="128" t="s">
        <v>102</v>
      </c>
      <c r="E20" s="129"/>
      <c r="F20" s="131" t="s">
        <v>103</v>
      </c>
      <c r="G20" s="130">
        <v>90</v>
      </c>
      <c r="H20" s="48"/>
      <c r="I20" s="109"/>
      <c r="J20" s="48"/>
      <c r="K20" s="109"/>
      <c r="L20" s="48"/>
      <c r="M20" s="109"/>
      <c r="N20" s="48"/>
      <c r="O20" s="109"/>
      <c r="P20" s="110"/>
      <c r="Q20" s="111"/>
      <c r="R20" s="112"/>
      <c r="S20" s="112"/>
      <c r="T20" s="112"/>
      <c r="U20" s="113"/>
      <c r="V20" s="114"/>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2"/>
      <c r="BU20" s="112"/>
      <c r="BV20" s="112"/>
      <c r="BW20" s="112"/>
      <c r="BX20" s="112"/>
      <c r="BY20" s="112"/>
      <c r="BZ20" s="112"/>
      <c r="CA20" s="112"/>
      <c r="CB20" s="112"/>
      <c r="CC20" s="112"/>
      <c r="CD20" s="112"/>
      <c r="CE20" s="112"/>
      <c r="CF20" s="112"/>
      <c r="CG20" s="112"/>
      <c r="CH20" s="112"/>
      <c r="CI20" s="112"/>
      <c r="CJ20" s="112"/>
      <c r="CK20" s="112"/>
      <c r="CL20" s="112"/>
      <c r="CM20" s="112"/>
      <c r="CN20" s="112"/>
      <c r="CO20" s="112"/>
      <c r="CP20" s="112"/>
      <c r="CQ20" s="112"/>
      <c r="CR20" s="112"/>
      <c r="CS20" s="112"/>
      <c r="CT20" s="112"/>
      <c r="CU20" s="112"/>
      <c r="CV20" s="112"/>
      <c r="CW20" s="112"/>
      <c r="CX20" s="112"/>
      <c r="CY20" s="112"/>
      <c r="CZ20" s="112"/>
      <c r="DA20" s="112"/>
      <c r="DB20" s="112"/>
      <c r="DC20" s="112"/>
      <c r="DD20" s="112"/>
      <c r="DE20" s="112"/>
      <c r="DF20" s="112"/>
      <c r="DG20" s="112"/>
      <c r="DH20" s="112"/>
      <c r="DI20" s="112"/>
      <c r="DJ20" s="112"/>
      <c r="DK20" s="112"/>
      <c r="DL20" s="112"/>
      <c r="DM20" s="112"/>
      <c r="DN20" s="112"/>
      <c r="DO20" s="112"/>
      <c r="DP20" s="112"/>
      <c r="DQ20" s="112"/>
      <c r="DR20" s="112"/>
      <c r="DS20" s="112"/>
      <c r="DT20" s="112"/>
      <c r="DU20" s="112"/>
      <c r="DV20" s="112"/>
      <c r="DW20" s="112"/>
      <c r="DX20" s="112"/>
      <c r="DY20" s="112"/>
      <c r="DZ20" s="112"/>
      <c r="EA20" s="112"/>
      <c r="EB20" s="112"/>
      <c r="EC20" s="112"/>
      <c r="ED20" s="112"/>
      <c r="EE20" s="112"/>
      <c r="EF20" s="112"/>
      <c r="EG20" s="112"/>
      <c r="EH20" s="112"/>
      <c r="EI20" s="112"/>
      <c r="EJ20" s="112"/>
      <c r="EK20" s="112"/>
      <c r="EL20" s="112"/>
      <c r="EM20" s="112"/>
      <c r="EN20" s="112"/>
      <c r="EO20" s="112"/>
      <c r="EP20" s="112"/>
      <c r="EQ20" s="112"/>
      <c r="ER20" s="112"/>
      <c r="ES20" s="112"/>
      <c r="ET20" s="112"/>
      <c r="EU20" s="112"/>
      <c r="EV20" s="112"/>
      <c r="EW20" s="112"/>
      <c r="EX20" s="112"/>
      <c r="EY20" s="112"/>
      <c r="EZ20" s="112"/>
      <c r="FA20" s="112"/>
      <c r="FB20" s="112"/>
      <c r="FC20" s="112"/>
      <c r="FD20" s="112"/>
      <c r="FE20" s="112"/>
      <c r="FF20" s="112"/>
      <c r="FG20" s="112"/>
      <c r="FH20" s="112"/>
      <c r="FI20" s="112"/>
      <c r="FJ20" s="112"/>
      <c r="FK20" s="112"/>
      <c r="FL20" s="112"/>
      <c r="FM20" s="112"/>
      <c r="FN20" s="112"/>
      <c r="FO20" s="112"/>
      <c r="FP20" s="112"/>
      <c r="FQ20" s="112"/>
      <c r="FR20" s="112"/>
      <c r="FS20" s="112"/>
      <c r="FT20" s="112"/>
      <c r="FU20" s="112"/>
      <c r="FV20" s="112"/>
      <c r="FW20" s="112"/>
      <c r="FX20" s="112"/>
      <c r="FY20" s="112"/>
      <c r="FZ20" s="112"/>
      <c r="GA20" s="112"/>
      <c r="GB20" s="112"/>
      <c r="GC20" s="112"/>
      <c r="GD20" s="112"/>
      <c r="GE20" s="112"/>
      <c r="GF20" s="112"/>
      <c r="GG20" s="112"/>
      <c r="GH20" s="112"/>
      <c r="GI20" s="112"/>
      <c r="GJ20" s="112"/>
      <c r="GK20" s="112"/>
      <c r="GL20" s="112"/>
      <c r="GM20" s="112"/>
      <c r="GN20" s="112"/>
      <c r="GO20" s="112"/>
      <c r="GP20" s="112"/>
      <c r="GQ20" s="112"/>
      <c r="GR20" s="112"/>
      <c r="GS20" s="112"/>
      <c r="GT20" s="112"/>
      <c r="GU20" s="112"/>
      <c r="GV20" s="112"/>
      <c r="GW20" s="112"/>
      <c r="GX20" s="112"/>
      <c r="GY20" s="112"/>
      <c r="GZ20" s="112"/>
      <c r="HA20" s="112"/>
      <c r="HB20" s="112"/>
      <c r="HC20" s="112"/>
      <c r="HD20" s="112"/>
      <c r="HE20" s="112"/>
      <c r="HF20" s="112"/>
      <c r="HG20" s="112"/>
      <c r="HH20" s="112"/>
      <c r="HI20" s="112"/>
      <c r="HJ20" s="112"/>
      <c r="HK20" s="112"/>
      <c r="HL20" s="112"/>
      <c r="HM20" s="112"/>
      <c r="HN20" s="112"/>
      <c r="HO20" s="112"/>
      <c r="HP20" s="112"/>
      <c r="HQ20" s="112"/>
      <c r="HR20" s="112"/>
      <c r="HS20" s="112"/>
      <c r="HT20" s="112"/>
      <c r="HU20" s="112"/>
      <c r="HV20" s="112"/>
      <c r="HW20" s="112"/>
      <c r="HX20" s="112"/>
      <c r="HY20" s="112"/>
      <c r="HZ20" s="112"/>
      <c r="IA20" s="112"/>
      <c r="IB20" s="112"/>
      <c r="IC20" s="112"/>
      <c r="ID20" s="112"/>
      <c r="IE20" s="112"/>
      <c r="IF20" s="112"/>
      <c r="IG20" s="112"/>
      <c r="IH20" s="112"/>
      <c r="II20" s="112"/>
      <c r="IJ20" s="112"/>
      <c r="IK20" s="112"/>
      <c r="IL20" s="112"/>
      <c r="IM20" s="112"/>
      <c r="IN20" s="112"/>
      <c r="IO20" s="112"/>
      <c r="IP20" s="112"/>
      <c r="IQ20" s="112"/>
      <c r="IR20" s="112"/>
      <c r="IS20" s="112"/>
      <c r="IT20" s="112"/>
      <c r="IU20" s="112"/>
      <c r="IV20" s="112"/>
      <c r="IW20" s="112"/>
      <c r="IX20" s="112"/>
      <c r="IY20" s="112"/>
      <c r="IZ20" s="112"/>
      <c r="JA20" s="112"/>
      <c r="JB20" s="112"/>
      <c r="JC20" s="112"/>
      <c r="JD20" s="112"/>
      <c r="JE20" s="112"/>
      <c r="JF20" s="112"/>
      <c r="JG20" s="112"/>
      <c r="JH20" s="112"/>
      <c r="JI20" s="112"/>
      <c r="JJ20" s="112"/>
      <c r="JK20" s="112"/>
      <c r="JL20" s="112"/>
      <c r="JM20" s="112"/>
      <c r="JN20" s="112"/>
      <c r="JO20" s="112"/>
      <c r="JP20" s="112"/>
      <c r="JQ20" s="112"/>
      <c r="JR20" s="112"/>
      <c r="JS20" s="112"/>
      <c r="JT20" s="112"/>
      <c r="JU20" s="112"/>
      <c r="JV20" s="112"/>
      <c r="JW20" s="112"/>
      <c r="JX20" s="112"/>
      <c r="JY20" s="112"/>
      <c r="JZ20" s="112"/>
      <c r="KA20" s="112"/>
      <c r="KB20" s="112"/>
      <c r="KC20" s="112"/>
      <c r="KD20" s="112"/>
      <c r="KE20" s="112"/>
      <c r="KF20" s="112"/>
      <c r="KG20" s="112"/>
      <c r="KH20" s="112"/>
      <c r="KI20" s="112"/>
      <c r="KJ20" s="112"/>
      <c r="KK20" s="112"/>
      <c r="KL20" s="112"/>
      <c r="KM20" s="112"/>
      <c r="KN20" s="112"/>
      <c r="KO20" s="112"/>
      <c r="KP20" s="112"/>
      <c r="KQ20" s="112"/>
      <c r="KR20" s="112"/>
      <c r="KS20" s="112"/>
      <c r="KT20" s="112"/>
      <c r="KU20" s="112"/>
      <c r="KV20" s="112"/>
      <c r="KW20" s="112"/>
      <c r="KX20" s="112"/>
      <c r="KY20" s="112"/>
      <c r="KZ20" s="112"/>
      <c r="LA20" s="112"/>
      <c r="LB20" s="112"/>
      <c r="LC20" s="112"/>
      <c r="LD20" s="112"/>
      <c r="LE20" s="112"/>
      <c r="LF20" s="112"/>
      <c r="LG20" s="112"/>
      <c r="LH20" s="112"/>
      <c r="LI20" s="112"/>
      <c r="LJ20" s="112"/>
      <c r="LK20" s="112"/>
      <c r="LL20" s="112"/>
      <c r="LM20" s="112"/>
      <c r="LN20" s="112"/>
      <c r="LO20" s="112"/>
      <c r="LP20" s="112"/>
      <c r="LQ20" s="112"/>
      <c r="LR20" s="112"/>
      <c r="LS20" s="112"/>
      <c r="LT20" s="112"/>
      <c r="LU20" s="112"/>
      <c r="LV20" s="112"/>
      <c r="LW20" s="112"/>
      <c r="LX20" s="112"/>
      <c r="LY20" s="112"/>
      <c r="LZ20" s="112"/>
      <c r="MA20" s="112"/>
      <c r="MB20" s="112"/>
      <c r="MC20" s="112"/>
      <c r="MD20" s="112"/>
      <c r="ME20" s="112"/>
      <c r="MF20" s="112"/>
      <c r="MG20" s="112"/>
      <c r="MH20" s="112"/>
      <c r="MI20" s="112"/>
      <c r="MJ20" s="112"/>
      <c r="MK20" s="112"/>
      <c r="ML20" s="112"/>
      <c r="MM20" s="112"/>
      <c r="MN20" s="112"/>
      <c r="MO20" s="112"/>
      <c r="MP20" s="112"/>
      <c r="MQ20" s="112"/>
      <c r="MR20" s="112"/>
      <c r="MS20" s="112"/>
      <c r="MT20" s="112"/>
      <c r="MU20" s="112"/>
      <c r="MV20" s="112"/>
      <c r="MW20" s="112"/>
      <c r="MX20" s="112"/>
      <c r="MY20" s="112"/>
      <c r="MZ20" s="112"/>
      <c r="NA20" s="112"/>
      <c r="NB20" s="112"/>
      <c r="NC20" s="112"/>
      <c r="ND20" s="112"/>
      <c r="NE20" s="112"/>
      <c r="NF20" s="112"/>
      <c r="NG20" s="112"/>
      <c r="NH20" s="112"/>
      <c r="NI20" s="112"/>
      <c r="NJ20" s="112"/>
      <c r="NK20" s="112"/>
      <c r="NL20" s="112"/>
      <c r="NM20" s="112"/>
      <c r="NN20" s="112"/>
      <c r="NO20" s="112"/>
      <c r="NP20" s="112"/>
      <c r="NQ20" s="112"/>
      <c r="NR20" s="112"/>
      <c r="NS20" s="112"/>
    </row>
    <row r="21" spans="2:383" s="65" customFormat="1" ht="21" customHeight="1">
      <c r="B21" s="132"/>
      <c r="C21" s="194"/>
      <c r="D21" s="133" t="s">
        <v>104</v>
      </c>
      <c r="E21" s="134"/>
      <c r="F21" s="135"/>
      <c r="G21" s="130">
        <v>20000</v>
      </c>
      <c r="H21" s="48"/>
      <c r="I21" s="109"/>
      <c r="J21" s="48"/>
      <c r="K21" s="109"/>
      <c r="L21" s="48"/>
      <c r="M21" s="109"/>
      <c r="N21" s="48"/>
      <c r="O21" s="109"/>
      <c r="P21" s="110"/>
      <c r="Q21" s="111"/>
      <c r="R21" s="112"/>
      <c r="S21" s="112"/>
      <c r="T21" s="112"/>
      <c r="U21" s="113"/>
      <c r="V21" s="114"/>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2"/>
      <c r="BU21" s="112"/>
      <c r="BV21" s="112"/>
      <c r="BW21" s="112"/>
      <c r="BX21" s="112"/>
      <c r="BY21" s="112"/>
      <c r="BZ21" s="112"/>
      <c r="CA21" s="112"/>
      <c r="CB21" s="112"/>
      <c r="CC21" s="112"/>
      <c r="CD21" s="112"/>
      <c r="CE21" s="112"/>
      <c r="CF21" s="112"/>
      <c r="CG21" s="112"/>
      <c r="CH21" s="112"/>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c r="DE21" s="112"/>
      <c r="DF21" s="112"/>
      <c r="DG21" s="112"/>
      <c r="DH21" s="112"/>
      <c r="DI21" s="112"/>
      <c r="DJ21" s="112"/>
      <c r="DK21" s="112"/>
      <c r="DL21" s="112"/>
      <c r="DM21" s="112"/>
      <c r="DN21" s="112"/>
      <c r="DO21" s="112"/>
      <c r="DP21" s="112"/>
      <c r="DQ21" s="112"/>
      <c r="DR21" s="112"/>
      <c r="DS21" s="112"/>
      <c r="DT21" s="112"/>
      <c r="DU21" s="112"/>
      <c r="DV21" s="112"/>
      <c r="DW21" s="112"/>
      <c r="DX21" s="112"/>
      <c r="DY21" s="112"/>
      <c r="DZ21" s="112"/>
      <c r="EA21" s="112"/>
      <c r="EB21" s="112"/>
      <c r="EC21" s="112"/>
      <c r="ED21" s="112"/>
      <c r="EE21" s="112"/>
      <c r="EF21" s="112"/>
      <c r="EG21" s="112"/>
      <c r="EH21" s="112"/>
      <c r="EI21" s="112"/>
      <c r="EJ21" s="112"/>
      <c r="EK21" s="112"/>
      <c r="EL21" s="112"/>
      <c r="EM21" s="112"/>
      <c r="EN21" s="112"/>
      <c r="EO21" s="112"/>
      <c r="EP21" s="112"/>
      <c r="EQ21" s="112"/>
      <c r="ER21" s="112"/>
      <c r="ES21" s="112"/>
      <c r="ET21" s="112"/>
      <c r="EU21" s="112"/>
      <c r="EV21" s="112"/>
      <c r="EW21" s="112"/>
      <c r="EX21" s="112"/>
      <c r="EY21" s="112"/>
      <c r="EZ21" s="112"/>
      <c r="FA21" s="112"/>
      <c r="FB21" s="112"/>
      <c r="FC21" s="112"/>
      <c r="FD21" s="112"/>
      <c r="FE21" s="112"/>
      <c r="FF21" s="112"/>
      <c r="FG21" s="112"/>
      <c r="FH21" s="112"/>
      <c r="FI21" s="112"/>
      <c r="FJ21" s="112"/>
      <c r="FK21" s="112"/>
      <c r="FL21" s="112"/>
      <c r="FM21" s="112"/>
      <c r="FN21" s="112"/>
      <c r="FO21" s="112"/>
      <c r="FP21" s="112"/>
      <c r="FQ21" s="112"/>
      <c r="FR21" s="112"/>
      <c r="FS21" s="112"/>
      <c r="FT21" s="112"/>
      <c r="FU21" s="112"/>
      <c r="FV21" s="112"/>
      <c r="FW21" s="112"/>
      <c r="FX21" s="112"/>
      <c r="FY21" s="112"/>
      <c r="FZ21" s="112"/>
      <c r="GA21" s="112"/>
      <c r="GB21" s="112"/>
      <c r="GC21" s="112"/>
      <c r="GD21" s="112"/>
      <c r="GE21" s="112"/>
      <c r="GF21" s="112"/>
      <c r="GG21" s="112"/>
      <c r="GH21" s="112"/>
      <c r="GI21" s="112"/>
      <c r="GJ21" s="112"/>
      <c r="GK21" s="112"/>
      <c r="GL21" s="112"/>
      <c r="GM21" s="112"/>
      <c r="GN21" s="112"/>
      <c r="GO21" s="112"/>
      <c r="GP21" s="112"/>
      <c r="GQ21" s="112"/>
      <c r="GR21" s="112"/>
      <c r="GS21" s="112"/>
      <c r="GT21" s="112"/>
      <c r="GU21" s="112"/>
      <c r="GV21" s="112"/>
      <c r="GW21" s="112"/>
      <c r="GX21" s="112"/>
      <c r="GY21" s="112"/>
      <c r="GZ21" s="112"/>
      <c r="HA21" s="112"/>
      <c r="HB21" s="112"/>
      <c r="HC21" s="112"/>
      <c r="HD21" s="112"/>
      <c r="HE21" s="112"/>
      <c r="HF21" s="112"/>
      <c r="HG21" s="112"/>
      <c r="HH21" s="112"/>
      <c r="HI21" s="112"/>
      <c r="HJ21" s="112"/>
      <c r="HK21" s="112"/>
      <c r="HL21" s="112"/>
      <c r="HM21" s="112"/>
      <c r="HN21" s="112"/>
      <c r="HO21" s="112"/>
      <c r="HP21" s="112"/>
      <c r="HQ21" s="112"/>
      <c r="HR21" s="112"/>
      <c r="HS21" s="112"/>
      <c r="HT21" s="112"/>
      <c r="HU21" s="112"/>
      <c r="HV21" s="112"/>
      <c r="HW21" s="112"/>
      <c r="HX21" s="112"/>
      <c r="HY21" s="112"/>
      <c r="HZ21" s="112"/>
      <c r="IA21" s="112"/>
      <c r="IB21" s="112"/>
      <c r="IC21" s="112"/>
      <c r="ID21" s="112"/>
      <c r="IE21" s="112"/>
      <c r="IF21" s="112"/>
      <c r="IG21" s="112"/>
      <c r="IH21" s="112"/>
      <c r="II21" s="112"/>
      <c r="IJ21" s="112"/>
      <c r="IK21" s="112"/>
      <c r="IL21" s="112"/>
      <c r="IM21" s="112"/>
      <c r="IN21" s="112"/>
      <c r="IO21" s="112"/>
      <c r="IP21" s="112"/>
      <c r="IQ21" s="112"/>
      <c r="IR21" s="112"/>
      <c r="IS21" s="112"/>
      <c r="IT21" s="112"/>
      <c r="IU21" s="112"/>
      <c r="IV21" s="112"/>
      <c r="IW21" s="112"/>
      <c r="IX21" s="112"/>
      <c r="IY21" s="112"/>
      <c r="IZ21" s="112"/>
      <c r="JA21" s="112"/>
      <c r="JB21" s="112"/>
      <c r="JC21" s="112"/>
      <c r="JD21" s="112"/>
      <c r="JE21" s="112"/>
      <c r="JF21" s="112"/>
      <c r="JG21" s="112"/>
      <c r="JH21" s="112"/>
      <c r="JI21" s="112"/>
      <c r="JJ21" s="112"/>
      <c r="JK21" s="112"/>
      <c r="JL21" s="112"/>
      <c r="JM21" s="112"/>
      <c r="JN21" s="112"/>
      <c r="JO21" s="112"/>
      <c r="JP21" s="112"/>
      <c r="JQ21" s="112"/>
      <c r="JR21" s="112"/>
      <c r="JS21" s="112"/>
      <c r="JT21" s="112"/>
      <c r="JU21" s="112"/>
      <c r="JV21" s="112"/>
      <c r="JW21" s="112"/>
      <c r="JX21" s="112"/>
      <c r="JY21" s="112"/>
      <c r="JZ21" s="112"/>
      <c r="KA21" s="112"/>
      <c r="KB21" s="112"/>
      <c r="KC21" s="112"/>
      <c r="KD21" s="112"/>
      <c r="KE21" s="112"/>
      <c r="KF21" s="112"/>
      <c r="KG21" s="112"/>
      <c r="KH21" s="112"/>
      <c r="KI21" s="112"/>
      <c r="KJ21" s="112"/>
      <c r="KK21" s="112"/>
      <c r="KL21" s="112"/>
      <c r="KM21" s="112"/>
      <c r="KN21" s="112"/>
      <c r="KO21" s="112"/>
      <c r="KP21" s="112"/>
      <c r="KQ21" s="112"/>
      <c r="KR21" s="112"/>
      <c r="KS21" s="112"/>
      <c r="KT21" s="112"/>
      <c r="KU21" s="112"/>
      <c r="KV21" s="112"/>
      <c r="KW21" s="112"/>
      <c r="KX21" s="112"/>
      <c r="KY21" s="112"/>
      <c r="KZ21" s="112"/>
      <c r="LA21" s="112"/>
      <c r="LB21" s="112"/>
      <c r="LC21" s="112"/>
      <c r="LD21" s="112"/>
      <c r="LE21" s="112"/>
      <c r="LF21" s="112"/>
      <c r="LG21" s="112"/>
      <c r="LH21" s="112"/>
      <c r="LI21" s="112"/>
      <c r="LJ21" s="112"/>
      <c r="LK21" s="112"/>
      <c r="LL21" s="112"/>
      <c r="LM21" s="112"/>
      <c r="LN21" s="112"/>
      <c r="LO21" s="112"/>
      <c r="LP21" s="112"/>
      <c r="LQ21" s="112"/>
      <c r="LR21" s="112"/>
      <c r="LS21" s="112"/>
      <c r="LT21" s="112"/>
      <c r="LU21" s="112"/>
      <c r="LV21" s="112"/>
      <c r="LW21" s="112"/>
      <c r="LX21" s="112"/>
      <c r="LY21" s="112"/>
      <c r="LZ21" s="112"/>
      <c r="MA21" s="112"/>
      <c r="MB21" s="112"/>
      <c r="MC21" s="112"/>
      <c r="MD21" s="112"/>
      <c r="ME21" s="112"/>
      <c r="MF21" s="112"/>
      <c r="MG21" s="112"/>
      <c r="MH21" s="112"/>
      <c r="MI21" s="112"/>
      <c r="MJ21" s="112"/>
      <c r="MK21" s="112"/>
      <c r="ML21" s="112"/>
      <c r="MM21" s="112"/>
      <c r="MN21" s="112"/>
      <c r="MO21" s="112"/>
      <c r="MP21" s="112"/>
      <c r="MQ21" s="112"/>
      <c r="MR21" s="112"/>
      <c r="MS21" s="112"/>
      <c r="MT21" s="112"/>
      <c r="MU21" s="112"/>
      <c r="MV21" s="112"/>
      <c r="MW21" s="112"/>
      <c r="MX21" s="112"/>
      <c r="MY21" s="112"/>
      <c r="MZ21" s="112"/>
      <c r="NA21" s="112"/>
      <c r="NB21" s="112"/>
      <c r="NC21" s="112"/>
      <c r="ND21" s="112"/>
      <c r="NE21" s="112"/>
      <c r="NF21" s="112"/>
      <c r="NG21" s="112"/>
      <c r="NH21" s="112"/>
      <c r="NI21" s="112"/>
      <c r="NJ21" s="112"/>
      <c r="NK21" s="112"/>
      <c r="NL21" s="112"/>
      <c r="NM21" s="112"/>
      <c r="NN21" s="112"/>
      <c r="NO21" s="112"/>
      <c r="NP21" s="112"/>
      <c r="NQ21" s="112"/>
      <c r="NR21" s="112"/>
      <c r="NS21" s="112"/>
    </row>
    <row r="22" spans="2:383" s="65" customFormat="1" ht="21" customHeight="1">
      <c r="B22" s="136"/>
      <c r="C22" s="194"/>
      <c r="D22" s="137" t="s">
        <v>105</v>
      </c>
      <c r="E22" s="134"/>
      <c r="F22" s="135"/>
      <c r="G22" s="108"/>
      <c r="H22" s="48"/>
      <c r="I22" s="109"/>
      <c r="J22" s="48"/>
      <c r="K22" s="109"/>
      <c r="L22" s="48"/>
      <c r="M22" s="109"/>
      <c r="N22" s="48"/>
      <c r="O22" s="109"/>
      <c r="P22" s="110"/>
      <c r="Q22" s="111"/>
      <c r="R22" s="112"/>
      <c r="S22" s="112"/>
      <c r="T22" s="112"/>
      <c r="U22" s="113"/>
      <c r="V22" s="114"/>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2"/>
      <c r="CC22" s="112"/>
      <c r="CD22" s="112"/>
      <c r="CE22" s="112"/>
      <c r="CF22" s="112"/>
      <c r="CG22" s="112"/>
      <c r="CH22" s="112"/>
      <c r="CI22" s="112"/>
      <c r="CJ22" s="112"/>
      <c r="CK22" s="112"/>
      <c r="CL22" s="112"/>
      <c r="CM22" s="112"/>
      <c r="CN22" s="112"/>
      <c r="CO22" s="112"/>
      <c r="CP22" s="112"/>
      <c r="CQ22" s="112"/>
      <c r="CR22" s="112"/>
      <c r="CS22" s="112"/>
      <c r="CT22" s="112"/>
      <c r="CU22" s="112"/>
      <c r="CV22" s="112"/>
      <c r="CW22" s="112"/>
      <c r="CX22" s="112"/>
      <c r="CY22" s="112"/>
      <c r="CZ22" s="112"/>
      <c r="DA22" s="112"/>
      <c r="DB22" s="112"/>
      <c r="DC22" s="112"/>
      <c r="DD22" s="112"/>
      <c r="DE22" s="112"/>
      <c r="DF22" s="112"/>
      <c r="DG22" s="112"/>
      <c r="DH22" s="112"/>
      <c r="DI22" s="112"/>
      <c r="DJ22" s="112"/>
      <c r="DK22" s="112"/>
      <c r="DL22" s="112"/>
      <c r="DM22" s="112"/>
      <c r="DN22" s="112"/>
      <c r="DO22" s="112"/>
      <c r="DP22" s="112"/>
      <c r="DQ22" s="112"/>
      <c r="DR22" s="112"/>
      <c r="DS22" s="112"/>
      <c r="DT22" s="112"/>
      <c r="DU22" s="112"/>
      <c r="DV22" s="112"/>
      <c r="DW22" s="112"/>
      <c r="DX22" s="112"/>
      <c r="DY22" s="112"/>
      <c r="DZ22" s="112"/>
      <c r="EA22" s="112"/>
      <c r="EB22" s="112"/>
      <c r="EC22" s="112"/>
      <c r="ED22" s="112"/>
      <c r="EE22" s="112"/>
      <c r="EF22" s="112"/>
      <c r="EG22" s="112"/>
      <c r="EH22" s="112"/>
      <c r="EI22" s="112"/>
      <c r="EJ22" s="112"/>
      <c r="EK22" s="112"/>
      <c r="EL22" s="112"/>
      <c r="EM22" s="112"/>
      <c r="EN22" s="112"/>
      <c r="EO22" s="112"/>
      <c r="EP22" s="112"/>
      <c r="EQ22" s="112"/>
      <c r="ER22" s="112"/>
      <c r="ES22" s="112"/>
      <c r="ET22" s="112"/>
      <c r="EU22" s="112"/>
      <c r="EV22" s="112"/>
      <c r="EW22" s="112"/>
      <c r="EX22" s="112"/>
      <c r="EY22" s="112"/>
      <c r="EZ22" s="112"/>
      <c r="FA22" s="112"/>
      <c r="FB22" s="112"/>
      <c r="FC22" s="112"/>
      <c r="FD22" s="112"/>
      <c r="FE22" s="112"/>
      <c r="FF22" s="112"/>
      <c r="FG22" s="112"/>
      <c r="FH22" s="112"/>
      <c r="FI22" s="112"/>
      <c r="FJ22" s="112"/>
      <c r="FK22" s="112"/>
      <c r="FL22" s="112"/>
      <c r="FM22" s="112"/>
      <c r="FN22" s="112"/>
      <c r="FO22" s="112"/>
      <c r="FP22" s="112"/>
      <c r="FQ22" s="112"/>
      <c r="FR22" s="112"/>
      <c r="FS22" s="112"/>
      <c r="FT22" s="112"/>
      <c r="FU22" s="112"/>
      <c r="FV22" s="112"/>
      <c r="FW22" s="112"/>
      <c r="FX22" s="112"/>
      <c r="FY22" s="112"/>
      <c r="FZ22" s="112"/>
      <c r="GA22" s="112"/>
      <c r="GB22" s="112"/>
      <c r="GC22" s="112"/>
      <c r="GD22" s="112"/>
      <c r="GE22" s="112"/>
      <c r="GF22" s="112"/>
      <c r="GG22" s="112"/>
      <c r="GH22" s="112"/>
      <c r="GI22" s="112"/>
      <c r="GJ22" s="112"/>
      <c r="GK22" s="112"/>
      <c r="GL22" s="112"/>
      <c r="GM22" s="112"/>
      <c r="GN22" s="112"/>
      <c r="GO22" s="112"/>
      <c r="GP22" s="112"/>
      <c r="GQ22" s="112"/>
      <c r="GR22" s="112"/>
      <c r="GS22" s="112"/>
      <c r="GT22" s="112"/>
      <c r="GU22" s="112"/>
      <c r="GV22" s="112"/>
      <c r="GW22" s="112"/>
      <c r="GX22" s="112"/>
      <c r="GY22" s="112"/>
      <c r="GZ22" s="112"/>
      <c r="HA22" s="112"/>
      <c r="HB22" s="112"/>
      <c r="HC22" s="112"/>
      <c r="HD22" s="112"/>
      <c r="HE22" s="112"/>
      <c r="HF22" s="112"/>
      <c r="HG22" s="112"/>
      <c r="HH22" s="112"/>
      <c r="HI22" s="112"/>
      <c r="HJ22" s="112"/>
      <c r="HK22" s="112"/>
      <c r="HL22" s="112"/>
      <c r="HM22" s="112"/>
      <c r="HN22" s="112"/>
      <c r="HO22" s="112"/>
      <c r="HP22" s="112"/>
      <c r="HQ22" s="112"/>
      <c r="HR22" s="112"/>
      <c r="HS22" s="112"/>
      <c r="HT22" s="112"/>
      <c r="HU22" s="112"/>
      <c r="HV22" s="112"/>
      <c r="HW22" s="112"/>
      <c r="HX22" s="112"/>
      <c r="HY22" s="112"/>
      <c r="HZ22" s="112"/>
      <c r="IA22" s="112"/>
      <c r="IB22" s="112"/>
      <c r="IC22" s="112"/>
      <c r="ID22" s="112"/>
      <c r="IE22" s="112"/>
      <c r="IF22" s="112"/>
      <c r="IG22" s="112"/>
      <c r="IH22" s="112"/>
      <c r="II22" s="112"/>
      <c r="IJ22" s="112"/>
      <c r="IK22" s="112"/>
      <c r="IL22" s="112"/>
      <c r="IM22" s="112"/>
      <c r="IN22" s="112"/>
      <c r="IO22" s="112"/>
      <c r="IP22" s="112"/>
      <c r="IQ22" s="112"/>
      <c r="IR22" s="112"/>
      <c r="IS22" s="112"/>
      <c r="IT22" s="112"/>
      <c r="IU22" s="112"/>
      <c r="IV22" s="112"/>
      <c r="IW22" s="112"/>
      <c r="IX22" s="112"/>
      <c r="IY22" s="112"/>
      <c r="IZ22" s="112"/>
      <c r="JA22" s="112"/>
      <c r="JB22" s="112"/>
      <c r="JC22" s="112"/>
      <c r="JD22" s="112"/>
      <c r="JE22" s="112"/>
      <c r="JF22" s="112"/>
      <c r="JG22" s="112"/>
      <c r="JH22" s="112"/>
      <c r="JI22" s="112"/>
      <c r="JJ22" s="112"/>
      <c r="JK22" s="112"/>
      <c r="JL22" s="112"/>
      <c r="JM22" s="112"/>
      <c r="JN22" s="112"/>
      <c r="JO22" s="112"/>
      <c r="JP22" s="112"/>
      <c r="JQ22" s="112"/>
      <c r="JR22" s="112"/>
      <c r="JS22" s="112"/>
      <c r="JT22" s="112"/>
      <c r="JU22" s="112"/>
      <c r="JV22" s="112"/>
      <c r="JW22" s="112"/>
      <c r="JX22" s="112"/>
      <c r="JY22" s="112"/>
      <c r="JZ22" s="112"/>
      <c r="KA22" s="112"/>
      <c r="KB22" s="112"/>
      <c r="KC22" s="112"/>
      <c r="KD22" s="112"/>
      <c r="KE22" s="112"/>
      <c r="KF22" s="112"/>
      <c r="KG22" s="112"/>
      <c r="KH22" s="112"/>
      <c r="KI22" s="112"/>
      <c r="KJ22" s="112"/>
      <c r="KK22" s="112"/>
      <c r="KL22" s="112"/>
      <c r="KM22" s="112"/>
      <c r="KN22" s="112"/>
      <c r="KO22" s="112"/>
      <c r="KP22" s="112"/>
      <c r="KQ22" s="112"/>
      <c r="KR22" s="112"/>
      <c r="KS22" s="112"/>
      <c r="KT22" s="112"/>
      <c r="KU22" s="112"/>
      <c r="KV22" s="112"/>
      <c r="KW22" s="112"/>
      <c r="KX22" s="112"/>
      <c r="KY22" s="112"/>
      <c r="KZ22" s="112"/>
      <c r="LA22" s="112"/>
      <c r="LB22" s="112"/>
      <c r="LC22" s="112"/>
      <c r="LD22" s="112"/>
      <c r="LE22" s="112"/>
      <c r="LF22" s="112"/>
      <c r="LG22" s="112"/>
      <c r="LH22" s="112"/>
      <c r="LI22" s="112"/>
      <c r="LJ22" s="112"/>
      <c r="LK22" s="112"/>
      <c r="LL22" s="112"/>
      <c r="LM22" s="112"/>
      <c r="LN22" s="112"/>
      <c r="LO22" s="112"/>
      <c r="LP22" s="112"/>
      <c r="LQ22" s="112"/>
      <c r="LR22" s="112"/>
      <c r="LS22" s="112"/>
      <c r="LT22" s="112"/>
      <c r="LU22" s="112"/>
      <c r="LV22" s="112"/>
      <c r="LW22" s="112"/>
      <c r="LX22" s="112"/>
      <c r="LY22" s="112"/>
      <c r="LZ22" s="112"/>
      <c r="MA22" s="112"/>
      <c r="MB22" s="112"/>
      <c r="MC22" s="112"/>
      <c r="MD22" s="112"/>
      <c r="ME22" s="112"/>
      <c r="MF22" s="112"/>
      <c r="MG22" s="112"/>
      <c r="MH22" s="112"/>
      <c r="MI22" s="112"/>
      <c r="MJ22" s="112"/>
      <c r="MK22" s="112"/>
      <c r="ML22" s="112"/>
      <c r="MM22" s="112"/>
      <c r="MN22" s="112"/>
      <c r="MO22" s="112"/>
      <c r="MP22" s="112"/>
      <c r="MQ22" s="112"/>
      <c r="MR22" s="112"/>
      <c r="MS22" s="112"/>
      <c r="MT22" s="112"/>
      <c r="MU22" s="112"/>
      <c r="MV22" s="112"/>
      <c r="MW22" s="112"/>
      <c r="MX22" s="112"/>
      <c r="MY22" s="112"/>
      <c r="MZ22" s="112"/>
      <c r="NA22" s="112"/>
      <c r="NB22" s="112"/>
      <c r="NC22" s="112"/>
      <c r="ND22" s="112"/>
      <c r="NE22" s="112"/>
      <c r="NF22" s="112"/>
      <c r="NG22" s="112"/>
      <c r="NH22" s="112"/>
      <c r="NI22" s="112"/>
      <c r="NJ22" s="112"/>
      <c r="NK22" s="112"/>
      <c r="NL22" s="112"/>
      <c r="NM22" s="112"/>
      <c r="NN22" s="112"/>
      <c r="NO22" s="112"/>
      <c r="NP22" s="112"/>
      <c r="NQ22" s="112"/>
      <c r="NR22" s="112"/>
      <c r="NS22" s="112"/>
    </row>
    <row r="23" spans="2:383" s="65" customFormat="1" ht="21" customHeight="1">
      <c r="B23" s="136"/>
      <c r="C23" s="194"/>
      <c r="D23" s="133" t="s">
        <v>106</v>
      </c>
      <c r="E23" s="134"/>
      <c r="F23" s="135"/>
      <c r="G23" s="108"/>
      <c r="H23" s="48"/>
      <c r="I23" s="109"/>
      <c r="J23" s="48"/>
      <c r="K23" s="109"/>
      <c r="L23" s="48"/>
      <c r="M23" s="109"/>
      <c r="N23" s="48"/>
      <c r="O23" s="109"/>
      <c r="P23" s="110"/>
      <c r="Q23" s="111"/>
      <c r="R23" s="112"/>
      <c r="S23" s="112"/>
      <c r="T23" s="112"/>
      <c r="U23" s="113"/>
      <c r="V23" s="114"/>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c r="CM23" s="112"/>
      <c r="CN23" s="112"/>
      <c r="CO23" s="112"/>
      <c r="CP23" s="112"/>
      <c r="CQ23" s="112"/>
      <c r="CR23" s="112"/>
      <c r="CS23" s="112"/>
      <c r="CT23" s="112"/>
      <c r="CU23" s="112"/>
      <c r="CV23" s="112"/>
      <c r="CW23" s="112"/>
      <c r="CX23" s="112"/>
      <c r="CY23" s="112"/>
      <c r="CZ23" s="112"/>
      <c r="DA23" s="112"/>
      <c r="DB23" s="112"/>
      <c r="DC23" s="112"/>
      <c r="DD23" s="112"/>
      <c r="DE23" s="112"/>
      <c r="DF23" s="112"/>
      <c r="DG23" s="112"/>
      <c r="DH23" s="112"/>
      <c r="DI23" s="112"/>
      <c r="DJ23" s="112"/>
      <c r="DK23" s="112"/>
      <c r="DL23" s="112"/>
      <c r="DM23" s="112"/>
      <c r="DN23" s="112"/>
      <c r="DO23" s="112"/>
      <c r="DP23" s="112"/>
      <c r="DQ23" s="112"/>
      <c r="DR23" s="112"/>
      <c r="DS23" s="112"/>
      <c r="DT23" s="112"/>
      <c r="DU23" s="112"/>
      <c r="DV23" s="112"/>
      <c r="DW23" s="112"/>
      <c r="DX23" s="112"/>
      <c r="DY23" s="112"/>
      <c r="DZ23" s="112"/>
      <c r="EA23" s="112"/>
      <c r="EB23" s="112"/>
      <c r="EC23" s="112"/>
      <c r="ED23" s="112"/>
      <c r="EE23" s="112"/>
      <c r="EF23" s="112"/>
      <c r="EG23" s="112"/>
      <c r="EH23" s="112"/>
      <c r="EI23" s="112"/>
      <c r="EJ23" s="112"/>
      <c r="EK23" s="112"/>
      <c r="EL23" s="112"/>
      <c r="EM23" s="112"/>
      <c r="EN23" s="112"/>
      <c r="EO23" s="112"/>
      <c r="EP23" s="112"/>
      <c r="EQ23" s="112"/>
      <c r="ER23" s="112"/>
      <c r="ES23" s="112"/>
      <c r="ET23" s="112"/>
      <c r="EU23" s="112"/>
      <c r="EV23" s="112"/>
      <c r="EW23" s="112"/>
      <c r="EX23" s="112"/>
      <c r="EY23" s="112"/>
      <c r="EZ23" s="112"/>
      <c r="FA23" s="112"/>
      <c r="FB23" s="112"/>
      <c r="FC23" s="112"/>
      <c r="FD23" s="112"/>
      <c r="FE23" s="112"/>
      <c r="FF23" s="112"/>
      <c r="FG23" s="112"/>
      <c r="FH23" s="112"/>
      <c r="FI23" s="112"/>
      <c r="FJ23" s="112"/>
      <c r="FK23" s="112"/>
      <c r="FL23" s="112"/>
      <c r="FM23" s="112"/>
      <c r="FN23" s="112"/>
      <c r="FO23" s="112"/>
      <c r="FP23" s="112"/>
      <c r="FQ23" s="112"/>
      <c r="FR23" s="112"/>
      <c r="FS23" s="112"/>
      <c r="FT23" s="112"/>
      <c r="FU23" s="112"/>
      <c r="FV23" s="112"/>
      <c r="FW23" s="112"/>
      <c r="FX23" s="112"/>
      <c r="FY23" s="112"/>
      <c r="FZ23" s="112"/>
      <c r="GA23" s="112"/>
      <c r="GB23" s="112"/>
      <c r="GC23" s="112"/>
      <c r="GD23" s="112"/>
      <c r="GE23" s="112"/>
      <c r="GF23" s="112"/>
      <c r="GG23" s="112"/>
      <c r="GH23" s="112"/>
      <c r="GI23" s="112"/>
      <c r="GJ23" s="112"/>
      <c r="GK23" s="112"/>
      <c r="GL23" s="112"/>
      <c r="GM23" s="112"/>
      <c r="GN23" s="112"/>
      <c r="GO23" s="112"/>
      <c r="GP23" s="112"/>
      <c r="GQ23" s="112"/>
      <c r="GR23" s="112"/>
      <c r="GS23" s="112"/>
      <c r="GT23" s="112"/>
      <c r="GU23" s="112"/>
      <c r="GV23" s="112"/>
      <c r="GW23" s="112"/>
      <c r="GX23" s="112"/>
      <c r="GY23" s="112"/>
      <c r="GZ23" s="112"/>
      <c r="HA23" s="112"/>
      <c r="HB23" s="112"/>
      <c r="HC23" s="112"/>
      <c r="HD23" s="112"/>
      <c r="HE23" s="112"/>
      <c r="HF23" s="112"/>
      <c r="HG23" s="112"/>
      <c r="HH23" s="112"/>
      <c r="HI23" s="112"/>
      <c r="HJ23" s="112"/>
      <c r="HK23" s="112"/>
      <c r="HL23" s="112"/>
      <c r="HM23" s="112"/>
      <c r="HN23" s="112"/>
      <c r="HO23" s="112"/>
      <c r="HP23" s="112"/>
      <c r="HQ23" s="112"/>
      <c r="HR23" s="112"/>
      <c r="HS23" s="112"/>
      <c r="HT23" s="112"/>
      <c r="HU23" s="112"/>
      <c r="HV23" s="112"/>
      <c r="HW23" s="112"/>
      <c r="HX23" s="112"/>
      <c r="HY23" s="112"/>
      <c r="HZ23" s="112"/>
      <c r="IA23" s="112"/>
      <c r="IB23" s="112"/>
      <c r="IC23" s="112"/>
      <c r="ID23" s="112"/>
      <c r="IE23" s="112"/>
      <c r="IF23" s="112"/>
      <c r="IG23" s="112"/>
      <c r="IH23" s="112"/>
      <c r="II23" s="112"/>
      <c r="IJ23" s="112"/>
      <c r="IK23" s="112"/>
      <c r="IL23" s="112"/>
      <c r="IM23" s="112"/>
      <c r="IN23" s="112"/>
      <c r="IO23" s="112"/>
      <c r="IP23" s="112"/>
      <c r="IQ23" s="112"/>
      <c r="IR23" s="112"/>
      <c r="IS23" s="112"/>
      <c r="IT23" s="112"/>
      <c r="IU23" s="112"/>
      <c r="IV23" s="112"/>
      <c r="IW23" s="112"/>
      <c r="IX23" s="112"/>
      <c r="IY23" s="112"/>
      <c r="IZ23" s="112"/>
      <c r="JA23" s="112"/>
      <c r="JB23" s="112"/>
      <c r="JC23" s="112"/>
      <c r="JD23" s="112"/>
      <c r="JE23" s="112"/>
      <c r="JF23" s="112"/>
      <c r="JG23" s="112"/>
      <c r="JH23" s="112"/>
      <c r="JI23" s="112"/>
      <c r="JJ23" s="112"/>
      <c r="JK23" s="112"/>
      <c r="JL23" s="112"/>
      <c r="JM23" s="112"/>
      <c r="JN23" s="112"/>
      <c r="JO23" s="112"/>
      <c r="JP23" s="112"/>
      <c r="JQ23" s="112"/>
      <c r="JR23" s="112"/>
      <c r="JS23" s="112"/>
      <c r="JT23" s="112"/>
      <c r="JU23" s="112"/>
      <c r="JV23" s="112"/>
      <c r="JW23" s="112"/>
      <c r="JX23" s="112"/>
      <c r="JY23" s="112"/>
      <c r="JZ23" s="112"/>
      <c r="KA23" s="112"/>
      <c r="KB23" s="112"/>
      <c r="KC23" s="112"/>
      <c r="KD23" s="112"/>
      <c r="KE23" s="112"/>
      <c r="KF23" s="112"/>
      <c r="KG23" s="112"/>
      <c r="KH23" s="112"/>
      <c r="KI23" s="112"/>
      <c r="KJ23" s="112"/>
      <c r="KK23" s="112"/>
      <c r="KL23" s="112"/>
      <c r="KM23" s="112"/>
      <c r="KN23" s="112"/>
      <c r="KO23" s="112"/>
      <c r="KP23" s="112"/>
      <c r="KQ23" s="112"/>
      <c r="KR23" s="112"/>
      <c r="KS23" s="112"/>
      <c r="KT23" s="112"/>
      <c r="KU23" s="112"/>
      <c r="KV23" s="112"/>
      <c r="KW23" s="112"/>
      <c r="KX23" s="112"/>
      <c r="KY23" s="112"/>
      <c r="KZ23" s="112"/>
      <c r="LA23" s="112"/>
      <c r="LB23" s="112"/>
      <c r="LC23" s="112"/>
      <c r="LD23" s="112"/>
      <c r="LE23" s="112"/>
      <c r="LF23" s="112"/>
      <c r="LG23" s="112"/>
      <c r="LH23" s="112"/>
      <c r="LI23" s="112"/>
      <c r="LJ23" s="112"/>
      <c r="LK23" s="112"/>
      <c r="LL23" s="112"/>
      <c r="LM23" s="112"/>
      <c r="LN23" s="112"/>
      <c r="LO23" s="112"/>
      <c r="LP23" s="112"/>
      <c r="LQ23" s="112"/>
      <c r="LR23" s="112"/>
      <c r="LS23" s="112"/>
      <c r="LT23" s="112"/>
      <c r="LU23" s="112"/>
      <c r="LV23" s="112"/>
      <c r="LW23" s="112"/>
      <c r="LX23" s="112"/>
      <c r="LY23" s="112"/>
      <c r="LZ23" s="112"/>
      <c r="MA23" s="112"/>
      <c r="MB23" s="112"/>
      <c r="MC23" s="112"/>
      <c r="MD23" s="112"/>
      <c r="ME23" s="112"/>
      <c r="MF23" s="112"/>
      <c r="MG23" s="112"/>
      <c r="MH23" s="112"/>
      <c r="MI23" s="112"/>
      <c r="MJ23" s="112"/>
      <c r="MK23" s="112"/>
      <c r="ML23" s="112"/>
      <c r="MM23" s="112"/>
      <c r="MN23" s="112"/>
      <c r="MO23" s="112"/>
      <c r="MP23" s="112"/>
      <c r="MQ23" s="112"/>
      <c r="MR23" s="112"/>
      <c r="MS23" s="112"/>
      <c r="MT23" s="112"/>
      <c r="MU23" s="112"/>
      <c r="MV23" s="112"/>
      <c r="MW23" s="112"/>
      <c r="MX23" s="112"/>
      <c r="MY23" s="112"/>
      <c r="MZ23" s="112"/>
      <c r="NA23" s="112"/>
      <c r="NB23" s="112"/>
      <c r="NC23" s="112"/>
      <c r="ND23" s="112"/>
      <c r="NE23" s="112"/>
      <c r="NF23" s="112"/>
      <c r="NG23" s="112"/>
      <c r="NH23" s="112"/>
      <c r="NI23" s="112"/>
      <c r="NJ23" s="112"/>
      <c r="NK23" s="112"/>
      <c r="NL23" s="112"/>
      <c r="NM23" s="112"/>
      <c r="NN23" s="112"/>
      <c r="NO23" s="112"/>
      <c r="NP23" s="112"/>
      <c r="NQ23" s="112"/>
      <c r="NR23" s="112"/>
      <c r="NS23" s="112"/>
    </row>
    <row r="24" spans="2:383" s="65" customFormat="1" ht="21" customHeight="1">
      <c r="B24" s="136"/>
      <c r="C24" s="194"/>
      <c r="D24" s="133" t="s">
        <v>107</v>
      </c>
      <c r="E24" s="134"/>
      <c r="F24" s="135"/>
      <c r="G24" s="108"/>
      <c r="H24" s="48"/>
      <c r="I24" s="109"/>
      <c r="J24" s="48"/>
      <c r="K24" s="109"/>
      <c r="L24" s="48"/>
      <c r="M24" s="109"/>
      <c r="N24" s="48"/>
      <c r="O24" s="109"/>
      <c r="P24" s="110"/>
      <c r="Q24" s="111"/>
      <c r="R24" s="112"/>
      <c r="S24" s="112"/>
      <c r="T24" s="112"/>
      <c r="U24" s="113"/>
      <c r="V24" s="114"/>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112"/>
      <c r="CE24" s="112"/>
      <c r="CF24" s="112"/>
      <c r="CG24" s="112"/>
      <c r="CH24" s="112"/>
      <c r="CI24" s="112"/>
      <c r="CJ24" s="112"/>
      <c r="CK24" s="112"/>
      <c r="CL24" s="112"/>
      <c r="CM24" s="112"/>
      <c r="CN24" s="112"/>
      <c r="CO24" s="112"/>
      <c r="CP24" s="112"/>
      <c r="CQ24" s="112"/>
      <c r="CR24" s="112"/>
      <c r="CS24" s="112"/>
      <c r="CT24" s="112"/>
      <c r="CU24" s="112"/>
      <c r="CV24" s="112"/>
      <c r="CW24" s="112"/>
      <c r="CX24" s="112"/>
      <c r="CY24" s="112"/>
      <c r="CZ24" s="112"/>
      <c r="DA24" s="112"/>
      <c r="DB24" s="112"/>
      <c r="DC24" s="112"/>
      <c r="DD24" s="112"/>
      <c r="DE24" s="112"/>
      <c r="DF24" s="112"/>
      <c r="DG24" s="112"/>
      <c r="DH24" s="112"/>
      <c r="DI24" s="112"/>
      <c r="DJ24" s="112"/>
      <c r="DK24" s="112"/>
      <c r="DL24" s="112"/>
      <c r="DM24" s="112"/>
      <c r="DN24" s="112"/>
      <c r="DO24" s="112"/>
      <c r="DP24" s="112"/>
      <c r="DQ24" s="112"/>
      <c r="DR24" s="112"/>
      <c r="DS24" s="112"/>
      <c r="DT24" s="112"/>
      <c r="DU24" s="112"/>
      <c r="DV24" s="112"/>
      <c r="DW24" s="112"/>
      <c r="DX24" s="112"/>
      <c r="DY24" s="112"/>
      <c r="DZ24" s="112"/>
      <c r="EA24" s="112"/>
      <c r="EB24" s="112"/>
      <c r="EC24" s="112"/>
      <c r="ED24" s="112"/>
      <c r="EE24" s="112"/>
      <c r="EF24" s="112"/>
      <c r="EG24" s="112"/>
      <c r="EH24" s="112"/>
      <c r="EI24" s="112"/>
      <c r="EJ24" s="112"/>
      <c r="EK24" s="112"/>
      <c r="EL24" s="112"/>
      <c r="EM24" s="112"/>
      <c r="EN24" s="112"/>
      <c r="EO24" s="112"/>
      <c r="EP24" s="112"/>
      <c r="EQ24" s="112"/>
      <c r="ER24" s="112"/>
      <c r="ES24" s="112"/>
      <c r="ET24" s="112"/>
      <c r="EU24" s="112"/>
      <c r="EV24" s="112"/>
      <c r="EW24" s="112"/>
      <c r="EX24" s="112"/>
      <c r="EY24" s="112"/>
      <c r="EZ24" s="112"/>
      <c r="FA24" s="112"/>
      <c r="FB24" s="112"/>
      <c r="FC24" s="112"/>
      <c r="FD24" s="112"/>
      <c r="FE24" s="112"/>
      <c r="FF24" s="112"/>
      <c r="FG24" s="112"/>
      <c r="FH24" s="112"/>
      <c r="FI24" s="112"/>
      <c r="FJ24" s="112"/>
      <c r="FK24" s="112"/>
      <c r="FL24" s="112"/>
      <c r="FM24" s="112"/>
      <c r="FN24" s="112"/>
      <c r="FO24" s="112"/>
      <c r="FP24" s="112"/>
      <c r="FQ24" s="112"/>
      <c r="FR24" s="112"/>
      <c r="FS24" s="112"/>
      <c r="FT24" s="112"/>
      <c r="FU24" s="112"/>
      <c r="FV24" s="112"/>
      <c r="FW24" s="112"/>
      <c r="FX24" s="112"/>
      <c r="FY24" s="112"/>
      <c r="FZ24" s="112"/>
      <c r="GA24" s="112"/>
      <c r="GB24" s="112"/>
      <c r="GC24" s="112"/>
      <c r="GD24" s="112"/>
      <c r="GE24" s="112"/>
      <c r="GF24" s="112"/>
      <c r="GG24" s="112"/>
      <c r="GH24" s="112"/>
      <c r="GI24" s="112"/>
      <c r="GJ24" s="112"/>
      <c r="GK24" s="112"/>
      <c r="GL24" s="112"/>
      <c r="GM24" s="112"/>
      <c r="GN24" s="112"/>
      <c r="GO24" s="112"/>
      <c r="GP24" s="112"/>
      <c r="GQ24" s="112"/>
      <c r="GR24" s="112"/>
      <c r="GS24" s="112"/>
      <c r="GT24" s="112"/>
      <c r="GU24" s="112"/>
      <c r="GV24" s="112"/>
      <c r="GW24" s="112"/>
      <c r="GX24" s="112"/>
      <c r="GY24" s="112"/>
      <c r="GZ24" s="112"/>
      <c r="HA24" s="112"/>
      <c r="HB24" s="112"/>
      <c r="HC24" s="112"/>
      <c r="HD24" s="112"/>
      <c r="HE24" s="112"/>
      <c r="HF24" s="112"/>
      <c r="HG24" s="112"/>
      <c r="HH24" s="112"/>
      <c r="HI24" s="112"/>
      <c r="HJ24" s="112"/>
      <c r="HK24" s="112"/>
      <c r="HL24" s="112"/>
      <c r="HM24" s="112"/>
      <c r="HN24" s="112"/>
      <c r="HO24" s="112"/>
      <c r="HP24" s="112"/>
      <c r="HQ24" s="112"/>
      <c r="HR24" s="112"/>
      <c r="HS24" s="112"/>
      <c r="HT24" s="112"/>
      <c r="HU24" s="112"/>
      <c r="HV24" s="112"/>
      <c r="HW24" s="112"/>
      <c r="HX24" s="112"/>
      <c r="HY24" s="112"/>
      <c r="HZ24" s="112"/>
      <c r="IA24" s="112"/>
      <c r="IB24" s="112"/>
      <c r="IC24" s="112"/>
      <c r="ID24" s="112"/>
      <c r="IE24" s="112"/>
      <c r="IF24" s="112"/>
      <c r="IG24" s="112"/>
      <c r="IH24" s="112"/>
      <c r="II24" s="112"/>
      <c r="IJ24" s="112"/>
      <c r="IK24" s="112"/>
      <c r="IL24" s="112"/>
      <c r="IM24" s="112"/>
      <c r="IN24" s="112"/>
      <c r="IO24" s="112"/>
      <c r="IP24" s="112"/>
      <c r="IQ24" s="112"/>
      <c r="IR24" s="112"/>
      <c r="IS24" s="112"/>
      <c r="IT24" s="112"/>
      <c r="IU24" s="112"/>
      <c r="IV24" s="112"/>
      <c r="IW24" s="112"/>
      <c r="IX24" s="112"/>
      <c r="IY24" s="112"/>
      <c r="IZ24" s="112"/>
      <c r="JA24" s="112"/>
      <c r="JB24" s="112"/>
      <c r="JC24" s="112"/>
      <c r="JD24" s="112"/>
      <c r="JE24" s="112"/>
      <c r="JF24" s="112"/>
      <c r="JG24" s="112"/>
      <c r="JH24" s="112"/>
      <c r="JI24" s="112"/>
      <c r="JJ24" s="112"/>
      <c r="JK24" s="112"/>
      <c r="JL24" s="112"/>
      <c r="JM24" s="112"/>
      <c r="JN24" s="112"/>
      <c r="JO24" s="112"/>
      <c r="JP24" s="112"/>
      <c r="JQ24" s="112"/>
      <c r="JR24" s="112"/>
      <c r="JS24" s="112"/>
      <c r="JT24" s="112"/>
      <c r="JU24" s="112"/>
      <c r="JV24" s="112"/>
      <c r="JW24" s="112"/>
      <c r="JX24" s="112"/>
      <c r="JY24" s="112"/>
      <c r="JZ24" s="112"/>
      <c r="KA24" s="112"/>
      <c r="KB24" s="112"/>
      <c r="KC24" s="112"/>
      <c r="KD24" s="112"/>
      <c r="KE24" s="112"/>
      <c r="KF24" s="112"/>
      <c r="KG24" s="112"/>
      <c r="KH24" s="112"/>
      <c r="KI24" s="112"/>
      <c r="KJ24" s="112"/>
      <c r="KK24" s="112"/>
      <c r="KL24" s="112"/>
      <c r="KM24" s="112"/>
      <c r="KN24" s="112"/>
      <c r="KO24" s="112"/>
      <c r="KP24" s="112"/>
      <c r="KQ24" s="112"/>
      <c r="KR24" s="112"/>
      <c r="KS24" s="112"/>
      <c r="KT24" s="112"/>
      <c r="KU24" s="112"/>
      <c r="KV24" s="112"/>
      <c r="KW24" s="112"/>
      <c r="KX24" s="112"/>
      <c r="KY24" s="112"/>
      <c r="KZ24" s="112"/>
      <c r="LA24" s="112"/>
      <c r="LB24" s="112"/>
      <c r="LC24" s="112"/>
      <c r="LD24" s="112"/>
      <c r="LE24" s="112"/>
      <c r="LF24" s="112"/>
      <c r="LG24" s="112"/>
      <c r="LH24" s="112"/>
      <c r="LI24" s="112"/>
      <c r="LJ24" s="112"/>
      <c r="LK24" s="112"/>
      <c r="LL24" s="112"/>
      <c r="LM24" s="112"/>
      <c r="LN24" s="112"/>
      <c r="LO24" s="112"/>
      <c r="LP24" s="112"/>
      <c r="LQ24" s="112"/>
      <c r="LR24" s="112"/>
      <c r="LS24" s="112"/>
      <c r="LT24" s="112"/>
      <c r="LU24" s="112"/>
      <c r="LV24" s="112"/>
      <c r="LW24" s="112"/>
      <c r="LX24" s="112"/>
      <c r="LY24" s="112"/>
      <c r="LZ24" s="112"/>
      <c r="MA24" s="112"/>
      <c r="MB24" s="112"/>
      <c r="MC24" s="112"/>
      <c r="MD24" s="112"/>
      <c r="ME24" s="112"/>
      <c r="MF24" s="112"/>
      <c r="MG24" s="112"/>
      <c r="MH24" s="112"/>
      <c r="MI24" s="112"/>
      <c r="MJ24" s="112"/>
      <c r="MK24" s="112"/>
      <c r="ML24" s="112"/>
      <c r="MM24" s="112"/>
      <c r="MN24" s="112"/>
      <c r="MO24" s="112"/>
      <c r="MP24" s="112"/>
      <c r="MQ24" s="112"/>
      <c r="MR24" s="112"/>
      <c r="MS24" s="112"/>
      <c r="MT24" s="112"/>
      <c r="MU24" s="112"/>
      <c r="MV24" s="112"/>
      <c r="MW24" s="112"/>
      <c r="MX24" s="112"/>
      <c r="MY24" s="112"/>
      <c r="MZ24" s="112"/>
      <c r="NA24" s="112"/>
      <c r="NB24" s="112"/>
      <c r="NC24" s="112"/>
      <c r="ND24" s="112"/>
      <c r="NE24" s="112"/>
      <c r="NF24" s="112"/>
      <c r="NG24" s="112"/>
      <c r="NH24" s="112"/>
      <c r="NI24" s="112"/>
      <c r="NJ24" s="112"/>
      <c r="NK24" s="112"/>
      <c r="NL24" s="112"/>
      <c r="NM24" s="112"/>
      <c r="NN24" s="112"/>
      <c r="NO24" s="112"/>
      <c r="NP24" s="112"/>
      <c r="NQ24" s="112"/>
      <c r="NR24" s="112"/>
      <c r="NS24" s="112"/>
    </row>
    <row r="25" spans="2:383" s="65" customFormat="1" ht="21" customHeight="1">
      <c r="B25" s="136"/>
      <c r="C25" s="194"/>
      <c r="D25" s="133" t="s">
        <v>108</v>
      </c>
      <c r="E25" s="134"/>
      <c r="F25" s="135"/>
      <c r="G25" s="108"/>
      <c r="H25" s="48"/>
      <c r="I25" s="109"/>
      <c r="J25" s="48"/>
      <c r="K25" s="109"/>
      <c r="L25" s="48"/>
      <c r="M25" s="109"/>
      <c r="N25" s="48"/>
      <c r="O25" s="109"/>
      <c r="P25" s="110"/>
      <c r="Q25" s="111"/>
      <c r="R25" s="112"/>
      <c r="S25" s="112"/>
      <c r="T25" s="112"/>
      <c r="U25" s="113"/>
      <c r="V25" s="114"/>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c r="CM25" s="112"/>
      <c r="CN25" s="112"/>
      <c r="CO25" s="112"/>
      <c r="CP25" s="112"/>
      <c r="CQ25" s="112"/>
      <c r="CR25" s="112"/>
      <c r="CS25" s="112"/>
      <c r="CT25" s="112"/>
      <c r="CU25" s="112"/>
      <c r="CV25" s="112"/>
      <c r="CW25" s="112"/>
      <c r="CX25" s="112"/>
      <c r="CY25" s="112"/>
      <c r="CZ25" s="112"/>
      <c r="DA25" s="112"/>
      <c r="DB25" s="112"/>
      <c r="DC25" s="112"/>
      <c r="DD25" s="112"/>
      <c r="DE25" s="112"/>
      <c r="DF25" s="112"/>
      <c r="DG25" s="112"/>
      <c r="DH25" s="112"/>
      <c r="DI25" s="112"/>
      <c r="DJ25" s="112"/>
      <c r="DK25" s="112"/>
      <c r="DL25" s="112"/>
      <c r="DM25" s="112"/>
      <c r="DN25" s="112"/>
      <c r="DO25" s="112"/>
      <c r="DP25" s="112"/>
      <c r="DQ25" s="112"/>
      <c r="DR25" s="112"/>
      <c r="DS25" s="112"/>
      <c r="DT25" s="112"/>
      <c r="DU25" s="112"/>
      <c r="DV25" s="112"/>
      <c r="DW25" s="112"/>
      <c r="DX25" s="112"/>
      <c r="DY25" s="112"/>
      <c r="DZ25" s="112"/>
      <c r="EA25" s="112"/>
      <c r="EB25" s="112"/>
      <c r="EC25" s="112"/>
      <c r="ED25" s="112"/>
      <c r="EE25" s="112"/>
      <c r="EF25" s="112"/>
      <c r="EG25" s="112"/>
      <c r="EH25" s="112"/>
      <c r="EI25" s="112"/>
      <c r="EJ25" s="112"/>
      <c r="EK25" s="112"/>
      <c r="EL25" s="112"/>
      <c r="EM25" s="112"/>
      <c r="EN25" s="112"/>
      <c r="EO25" s="112"/>
      <c r="EP25" s="112"/>
      <c r="EQ25" s="112"/>
      <c r="ER25" s="112"/>
      <c r="ES25" s="112"/>
      <c r="ET25" s="112"/>
      <c r="EU25" s="112"/>
      <c r="EV25" s="112"/>
      <c r="EW25" s="112"/>
      <c r="EX25" s="112"/>
      <c r="EY25" s="112"/>
      <c r="EZ25" s="112"/>
      <c r="FA25" s="112"/>
      <c r="FB25" s="112"/>
      <c r="FC25" s="112"/>
      <c r="FD25" s="112"/>
      <c r="FE25" s="112"/>
      <c r="FF25" s="112"/>
      <c r="FG25" s="112"/>
      <c r="FH25" s="112"/>
      <c r="FI25" s="112"/>
      <c r="FJ25" s="112"/>
      <c r="FK25" s="112"/>
      <c r="FL25" s="112"/>
      <c r="FM25" s="112"/>
      <c r="FN25" s="112"/>
      <c r="FO25" s="112"/>
      <c r="FP25" s="112"/>
      <c r="FQ25" s="112"/>
      <c r="FR25" s="112"/>
      <c r="FS25" s="112"/>
      <c r="FT25" s="112"/>
      <c r="FU25" s="112"/>
      <c r="FV25" s="112"/>
      <c r="FW25" s="112"/>
      <c r="FX25" s="112"/>
      <c r="FY25" s="112"/>
      <c r="FZ25" s="112"/>
      <c r="GA25" s="112"/>
      <c r="GB25" s="112"/>
      <c r="GC25" s="112"/>
      <c r="GD25" s="112"/>
      <c r="GE25" s="112"/>
      <c r="GF25" s="112"/>
      <c r="GG25" s="112"/>
      <c r="GH25" s="112"/>
      <c r="GI25" s="112"/>
      <c r="GJ25" s="112"/>
      <c r="GK25" s="112"/>
      <c r="GL25" s="112"/>
      <c r="GM25" s="112"/>
      <c r="GN25" s="112"/>
      <c r="GO25" s="112"/>
      <c r="GP25" s="112"/>
      <c r="GQ25" s="112"/>
      <c r="GR25" s="112"/>
      <c r="GS25" s="112"/>
      <c r="GT25" s="112"/>
      <c r="GU25" s="112"/>
      <c r="GV25" s="112"/>
      <c r="GW25" s="112"/>
      <c r="GX25" s="112"/>
      <c r="GY25" s="112"/>
      <c r="GZ25" s="112"/>
      <c r="HA25" s="112"/>
      <c r="HB25" s="112"/>
      <c r="HC25" s="112"/>
      <c r="HD25" s="112"/>
      <c r="HE25" s="112"/>
      <c r="HF25" s="112"/>
      <c r="HG25" s="112"/>
      <c r="HH25" s="112"/>
      <c r="HI25" s="112"/>
      <c r="HJ25" s="112"/>
      <c r="HK25" s="112"/>
      <c r="HL25" s="112"/>
      <c r="HM25" s="112"/>
      <c r="HN25" s="112"/>
      <c r="HO25" s="112"/>
      <c r="HP25" s="112"/>
      <c r="HQ25" s="112"/>
      <c r="HR25" s="112"/>
      <c r="HS25" s="112"/>
      <c r="HT25" s="112"/>
      <c r="HU25" s="112"/>
      <c r="HV25" s="112"/>
      <c r="HW25" s="112"/>
      <c r="HX25" s="112"/>
      <c r="HY25" s="112"/>
      <c r="HZ25" s="112"/>
      <c r="IA25" s="112"/>
      <c r="IB25" s="112"/>
      <c r="IC25" s="112"/>
      <c r="ID25" s="112"/>
      <c r="IE25" s="112"/>
      <c r="IF25" s="112"/>
      <c r="IG25" s="112"/>
      <c r="IH25" s="112"/>
      <c r="II25" s="112"/>
      <c r="IJ25" s="112"/>
      <c r="IK25" s="112"/>
      <c r="IL25" s="112"/>
      <c r="IM25" s="112"/>
      <c r="IN25" s="112"/>
      <c r="IO25" s="112"/>
      <c r="IP25" s="112"/>
      <c r="IQ25" s="112"/>
      <c r="IR25" s="112"/>
      <c r="IS25" s="112"/>
      <c r="IT25" s="112"/>
      <c r="IU25" s="112"/>
      <c r="IV25" s="112"/>
      <c r="IW25" s="112"/>
      <c r="IX25" s="112"/>
      <c r="IY25" s="112"/>
      <c r="IZ25" s="112"/>
      <c r="JA25" s="112"/>
      <c r="JB25" s="112"/>
      <c r="JC25" s="112"/>
      <c r="JD25" s="112"/>
      <c r="JE25" s="112"/>
      <c r="JF25" s="112"/>
      <c r="JG25" s="112"/>
      <c r="JH25" s="112"/>
      <c r="JI25" s="112"/>
      <c r="JJ25" s="112"/>
      <c r="JK25" s="112"/>
      <c r="JL25" s="112"/>
      <c r="JM25" s="112"/>
      <c r="JN25" s="112"/>
      <c r="JO25" s="112"/>
      <c r="JP25" s="112"/>
      <c r="JQ25" s="112"/>
      <c r="JR25" s="112"/>
      <c r="JS25" s="112"/>
      <c r="JT25" s="112"/>
      <c r="JU25" s="112"/>
      <c r="JV25" s="112"/>
      <c r="JW25" s="112"/>
      <c r="JX25" s="112"/>
      <c r="JY25" s="112"/>
      <c r="JZ25" s="112"/>
      <c r="KA25" s="112"/>
      <c r="KB25" s="112"/>
      <c r="KC25" s="112"/>
      <c r="KD25" s="112"/>
      <c r="KE25" s="112"/>
      <c r="KF25" s="112"/>
      <c r="KG25" s="112"/>
      <c r="KH25" s="112"/>
      <c r="KI25" s="112"/>
      <c r="KJ25" s="112"/>
      <c r="KK25" s="112"/>
      <c r="KL25" s="112"/>
      <c r="KM25" s="112"/>
      <c r="KN25" s="112"/>
      <c r="KO25" s="112"/>
      <c r="KP25" s="112"/>
      <c r="KQ25" s="112"/>
      <c r="KR25" s="112"/>
      <c r="KS25" s="112"/>
      <c r="KT25" s="112"/>
      <c r="KU25" s="112"/>
      <c r="KV25" s="112"/>
      <c r="KW25" s="112"/>
      <c r="KX25" s="112"/>
      <c r="KY25" s="112"/>
      <c r="KZ25" s="112"/>
      <c r="LA25" s="112"/>
      <c r="LB25" s="112"/>
      <c r="LC25" s="112"/>
      <c r="LD25" s="112"/>
      <c r="LE25" s="112"/>
      <c r="LF25" s="112"/>
      <c r="LG25" s="112"/>
      <c r="LH25" s="112"/>
      <c r="LI25" s="112"/>
      <c r="LJ25" s="112"/>
      <c r="LK25" s="112"/>
      <c r="LL25" s="112"/>
      <c r="LM25" s="112"/>
      <c r="LN25" s="112"/>
      <c r="LO25" s="112"/>
      <c r="LP25" s="112"/>
      <c r="LQ25" s="112"/>
      <c r="LR25" s="112"/>
      <c r="LS25" s="112"/>
      <c r="LT25" s="112"/>
      <c r="LU25" s="112"/>
      <c r="LV25" s="112"/>
      <c r="LW25" s="112"/>
      <c r="LX25" s="112"/>
      <c r="LY25" s="112"/>
      <c r="LZ25" s="112"/>
      <c r="MA25" s="112"/>
      <c r="MB25" s="112"/>
      <c r="MC25" s="112"/>
      <c r="MD25" s="112"/>
      <c r="ME25" s="112"/>
      <c r="MF25" s="112"/>
      <c r="MG25" s="112"/>
      <c r="MH25" s="112"/>
      <c r="MI25" s="112"/>
      <c r="MJ25" s="112"/>
      <c r="MK25" s="112"/>
      <c r="ML25" s="112"/>
      <c r="MM25" s="112"/>
      <c r="MN25" s="112"/>
      <c r="MO25" s="112"/>
      <c r="MP25" s="112"/>
      <c r="MQ25" s="112"/>
      <c r="MR25" s="112"/>
      <c r="MS25" s="112"/>
      <c r="MT25" s="112"/>
      <c r="MU25" s="112"/>
      <c r="MV25" s="112"/>
      <c r="MW25" s="112"/>
      <c r="MX25" s="112"/>
      <c r="MY25" s="112"/>
      <c r="MZ25" s="112"/>
      <c r="NA25" s="112"/>
      <c r="NB25" s="112"/>
      <c r="NC25" s="112"/>
      <c r="ND25" s="112"/>
      <c r="NE25" s="112"/>
      <c r="NF25" s="112"/>
      <c r="NG25" s="112"/>
      <c r="NH25" s="112"/>
      <c r="NI25" s="112"/>
      <c r="NJ25" s="112"/>
      <c r="NK25" s="112"/>
      <c r="NL25" s="112"/>
      <c r="NM25" s="112"/>
      <c r="NN25" s="112"/>
      <c r="NO25" s="112"/>
      <c r="NP25" s="112"/>
      <c r="NQ25" s="112"/>
      <c r="NR25" s="112"/>
      <c r="NS25" s="112"/>
    </row>
    <row r="26" spans="2:383" s="65" customFormat="1" ht="35" customHeight="1">
      <c r="B26" s="136"/>
      <c r="C26" s="194"/>
      <c r="D26" s="138" t="s">
        <v>109</v>
      </c>
      <c r="E26" s="134"/>
      <c r="F26" s="135"/>
      <c r="G26" s="108"/>
      <c r="H26" s="48"/>
      <c r="I26" s="109"/>
      <c r="J26" s="48"/>
      <c r="K26" s="109"/>
      <c r="L26" s="48"/>
      <c r="M26" s="109"/>
      <c r="N26" s="48"/>
      <c r="O26" s="109"/>
      <c r="P26" s="110"/>
      <c r="Q26" s="111"/>
      <c r="R26" s="112"/>
      <c r="S26" s="112"/>
      <c r="T26" s="112"/>
      <c r="U26" s="113"/>
      <c r="V26" s="114"/>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c r="CM26" s="112"/>
      <c r="CN26" s="112"/>
      <c r="CO26" s="112"/>
      <c r="CP26" s="112"/>
      <c r="CQ26" s="112"/>
      <c r="CR26" s="112"/>
      <c r="CS26" s="112"/>
      <c r="CT26" s="112"/>
      <c r="CU26" s="112"/>
      <c r="CV26" s="112"/>
      <c r="CW26" s="112"/>
      <c r="CX26" s="112"/>
      <c r="CY26" s="112"/>
      <c r="CZ26" s="112"/>
      <c r="DA26" s="112"/>
      <c r="DB26" s="112"/>
      <c r="DC26" s="112"/>
      <c r="DD26" s="112"/>
      <c r="DE26" s="112"/>
      <c r="DF26" s="112"/>
      <c r="DG26" s="112"/>
      <c r="DH26" s="112"/>
      <c r="DI26" s="112"/>
      <c r="DJ26" s="112"/>
      <c r="DK26" s="112"/>
      <c r="DL26" s="112"/>
      <c r="DM26" s="112"/>
      <c r="DN26" s="112"/>
      <c r="DO26" s="112"/>
      <c r="DP26" s="112"/>
      <c r="DQ26" s="112"/>
      <c r="DR26" s="112"/>
      <c r="DS26" s="112"/>
      <c r="DT26" s="112"/>
      <c r="DU26" s="112"/>
      <c r="DV26" s="112"/>
      <c r="DW26" s="112"/>
      <c r="DX26" s="112"/>
      <c r="DY26" s="112"/>
      <c r="DZ26" s="112"/>
      <c r="EA26" s="112"/>
      <c r="EB26" s="112"/>
      <c r="EC26" s="112"/>
      <c r="ED26" s="112"/>
      <c r="EE26" s="112"/>
      <c r="EF26" s="112"/>
      <c r="EG26" s="112"/>
      <c r="EH26" s="112"/>
      <c r="EI26" s="112"/>
      <c r="EJ26" s="112"/>
      <c r="EK26" s="112"/>
      <c r="EL26" s="112"/>
      <c r="EM26" s="112"/>
      <c r="EN26" s="112"/>
      <c r="EO26" s="112"/>
      <c r="EP26" s="112"/>
      <c r="EQ26" s="112"/>
      <c r="ER26" s="112"/>
      <c r="ES26" s="112"/>
      <c r="ET26" s="112"/>
      <c r="EU26" s="112"/>
      <c r="EV26" s="112"/>
      <c r="EW26" s="112"/>
      <c r="EX26" s="112"/>
      <c r="EY26" s="112"/>
      <c r="EZ26" s="112"/>
      <c r="FA26" s="112"/>
      <c r="FB26" s="112"/>
      <c r="FC26" s="112"/>
      <c r="FD26" s="112"/>
      <c r="FE26" s="112"/>
      <c r="FF26" s="112"/>
      <c r="FG26" s="112"/>
      <c r="FH26" s="112"/>
      <c r="FI26" s="112"/>
      <c r="FJ26" s="112"/>
      <c r="FK26" s="112"/>
      <c r="FL26" s="112"/>
      <c r="FM26" s="112"/>
      <c r="FN26" s="112"/>
      <c r="FO26" s="112"/>
      <c r="FP26" s="112"/>
      <c r="FQ26" s="112"/>
      <c r="FR26" s="112"/>
      <c r="FS26" s="112"/>
      <c r="FT26" s="112"/>
      <c r="FU26" s="112"/>
      <c r="FV26" s="112"/>
      <c r="FW26" s="112"/>
      <c r="FX26" s="112"/>
      <c r="FY26" s="112"/>
      <c r="FZ26" s="112"/>
      <c r="GA26" s="112"/>
      <c r="GB26" s="112"/>
      <c r="GC26" s="112"/>
      <c r="GD26" s="112"/>
      <c r="GE26" s="112"/>
      <c r="GF26" s="112"/>
      <c r="GG26" s="112"/>
      <c r="GH26" s="112"/>
      <c r="GI26" s="112"/>
      <c r="GJ26" s="112"/>
      <c r="GK26" s="112"/>
      <c r="GL26" s="112"/>
      <c r="GM26" s="112"/>
      <c r="GN26" s="112"/>
      <c r="GO26" s="112"/>
      <c r="GP26" s="112"/>
      <c r="GQ26" s="112"/>
      <c r="GR26" s="112"/>
      <c r="GS26" s="112"/>
      <c r="GT26" s="112"/>
      <c r="GU26" s="112"/>
      <c r="GV26" s="112"/>
      <c r="GW26" s="112"/>
      <c r="GX26" s="112"/>
      <c r="GY26" s="112"/>
      <c r="GZ26" s="112"/>
      <c r="HA26" s="112"/>
      <c r="HB26" s="112"/>
      <c r="HC26" s="112"/>
      <c r="HD26" s="112"/>
      <c r="HE26" s="112"/>
      <c r="HF26" s="112"/>
      <c r="HG26" s="112"/>
      <c r="HH26" s="112"/>
      <c r="HI26" s="112"/>
      <c r="HJ26" s="112"/>
      <c r="HK26" s="112"/>
      <c r="HL26" s="112"/>
      <c r="HM26" s="112"/>
      <c r="HN26" s="112"/>
      <c r="HO26" s="112"/>
      <c r="HP26" s="112"/>
      <c r="HQ26" s="112"/>
      <c r="HR26" s="112"/>
      <c r="HS26" s="112"/>
      <c r="HT26" s="112"/>
      <c r="HU26" s="112"/>
      <c r="HV26" s="112"/>
      <c r="HW26" s="112"/>
      <c r="HX26" s="112"/>
      <c r="HY26" s="112"/>
      <c r="HZ26" s="112"/>
      <c r="IA26" s="112"/>
      <c r="IB26" s="112"/>
      <c r="IC26" s="112"/>
      <c r="ID26" s="112"/>
      <c r="IE26" s="112"/>
      <c r="IF26" s="112"/>
      <c r="IG26" s="112"/>
      <c r="IH26" s="112"/>
      <c r="II26" s="112"/>
      <c r="IJ26" s="112"/>
      <c r="IK26" s="112"/>
      <c r="IL26" s="112"/>
      <c r="IM26" s="112"/>
      <c r="IN26" s="112"/>
      <c r="IO26" s="112"/>
      <c r="IP26" s="112"/>
      <c r="IQ26" s="112"/>
      <c r="IR26" s="112"/>
      <c r="IS26" s="112"/>
      <c r="IT26" s="112"/>
      <c r="IU26" s="112"/>
      <c r="IV26" s="112"/>
      <c r="IW26" s="112"/>
      <c r="IX26" s="112"/>
      <c r="IY26" s="112"/>
      <c r="IZ26" s="112"/>
      <c r="JA26" s="112"/>
      <c r="JB26" s="112"/>
      <c r="JC26" s="112"/>
      <c r="JD26" s="112"/>
      <c r="JE26" s="112"/>
      <c r="JF26" s="112"/>
      <c r="JG26" s="112"/>
      <c r="JH26" s="112"/>
      <c r="JI26" s="112"/>
      <c r="JJ26" s="112"/>
      <c r="JK26" s="112"/>
      <c r="JL26" s="112"/>
      <c r="JM26" s="112"/>
      <c r="JN26" s="112"/>
      <c r="JO26" s="112"/>
      <c r="JP26" s="112"/>
      <c r="JQ26" s="112"/>
      <c r="JR26" s="112"/>
      <c r="JS26" s="112"/>
      <c r="JT26" s="112"/>
      <c r="JU26" s="112"/>
      <c r="JV26" s="112"/>
      <c r="JW26" s="112"/>
      <c r="JX26" s="112"/>
      <c r="JY26" s="112"/>
      <c r="JZ26" s="112"/>
      <c r="KA26" s="112"/>
      <c r="KB26" s="112"/>
      <c r="KC26" s="112"/>
      <c r="KD26" s="112"/>
      <c r="KE26" s="112"/>
      <c r="KF26" s="112"/>
      <c r="KG26" s="112"/>
      <c r="KH26" s="112"/>
      <c r="KI26" s="112"/>
      <c r="KJ26" s="112"/>
      <c r="KK26" s="112"/>
      <c r="KL26" s="112"/>
      <c r="KM26" s="112"/>
      <c r="KN26" s="112"/>
      <c r="KO26" s="112"/>
      <c r="KP26" s="112"/>
      <c r="KQ26" s="112"/>
      <c r="KR26" s="112"/>
      <c r="KS26" s="112"/>
      <c r="KT26" s="112"/>
      <c r="KU26" s="112"/>
      <c r="KV26" s="112"/>
      <c r="KW26" s="112"/>
      <c r="KX26" s="112"/>
      <c r="KY26" s="112"/>
      <c r="KZ26" s="112"/>
      <c r="LA26" s="112"/>
      <c r="LB26" s="112"/>
      <c r="LC26" s="112"/>
      <c r="LD26" s="112"/>
      <c r="LE26" s="112"/>
      <c r="LF26" s="112"/>
      <c r="LG26" s="112"/>
      <c r="LH26" s="112"/>
      <c r="LI26" s="112"/>
      <c r="LJ26" s="112"/>
      <c r="LK26" s="112"/>
      <c r="LL26" s="112"/>
      <c r="LM26" s="112"/>
      <c r="LN26" s="112"/>
      <c r="LO26" s="112"/>
      <c r="LP26" s="112"/>
      <c r="LQ26" s="112"/>
      <c r="LR26" s="112"/>
      <c r="LS26" s="112"/>
      <c r="LT26" s="112"/>
      <c r="LU26" s="112"/>
      <c r="LV26" s="112"/>
      <c r="LW26" s="112"/>
      <c r="LX26" s="112"/>
      <c r="LY26" s="112"/>
      <c r="LZ26" s="112"/>
      <c r="MA26" s="112"/>
      <c r="MB26" s="112"/>
      <c r="MC26" s="112"/>
      <c r="MD26" s="112"/>
      <c r="ME26" s="112"/>
      <c r="MF26" s="112"/>
      <c r="MG26" s="112"/>
      <c r="MH26" s="112"/>
      <c r="MI26" s="112"/>
      <c r="MJ26" s="112"/>
      <c r="MK26" s="112"/>
      <c r="ML26" s="112"/>
      <c r="MM26" s="112"/>
      <c r="MN26" s="112"/>
      <c r="MO26" s="112"/>
      <c r="MP26" s="112"/>
      <c r="MQ26" s="112"/>
      <c r="MR26" s="112"/>
      <c r="MS26" s="112"/>
      <c r="MT26" s="112"/>
      <c r="MU26" s="112"/>
      <c r="MV26" s="112"/>
      <c r="MW26" s="112"/>
      <c r="MX26" s="112"/>
      <c r="MY26" s="112"/>
      <c r="MZ26" s="112"/>
      <c r="NA26" s="112"/>
      <c r="NB26" s="112"/>
      <c r="NC26" s="112"/>
      <c r="ND26" s="112"/>
      <c r="NE26" s="112"/>
      <c r="NF26" s="112"/>
      <c r="NG26" s="112"/>
      <c r="NH26" s="112"/>
      <c r="NI26" s="112"/>
      <c r="NJ26" s="112"/>
      <c r="NK26" s="112"/>
      <c r="NL26" s="112"/>
      <c r="NM26" s="112"/>
      <c r="NN26" s="112"/>
      <c r="NO26" s="112"/>
      <c r="NP26" s="112"/>
      <c r="NQ26" s="112"/>
      <c r="NR26" s="112"/>
      <c r="NS26" s="112"/>
    </row>
  </sheetData>
  <autoFilter ref="B5:Q26" xr:uid="{00000000-0009-0000-0000-000001000000}"/>
  <mergeCells count="15">
    <mergeCell ref="L5:L6"/>
    <mergeCell ref="M5:M6"/>
    <mergeCell ref="O5:O6"/>
    <mergeCell ref="Q5:Q6"/>
    <mergeCell ref="B5:C6"/>
    <mergeCell ref="G5:G6"/>
    <mergeCell ref="H5:H6"/>
    <mergeCell ref="I5:I6"/>
    <mergeCell ref="J5:J6"/>
    <mergeCell ref="K5:K6"/>
    <mergeCell ref="C7:C16"/>
    <mergeCell ref="C17:C26"/>
    <mergeCell ref="D5:D6"/>
    <mergeCell ref="E5:E6"/>
    <mergeCell ref="F5:F6"/>
  </mergeCells>
  <phoneticPr fontId="63" type="noConversion"/>
  <conditionalFormatting sqref="O1 O4:O5 O27:P29">
    <cfRule type="cellIs" dxfId="3" priority="45" operator="equal">
      <formula>"进行中"</formula>
    </cfRule>
  </conditionalFormatting>
  <conditionalFormatting sqref="P1:P26">
    <cfRule type="cellIs" dxfId="2" priority="19" operator="equal">
      <formula>"进行中"</formula>
    </cfRule>
  </conditionalFormatting>
  <conditionalFormatting sqref="Q4:Q20 Q1 Q27:Q29">
    <cfRule type="dataBar" priority="34">
      <dataBar>
        <cfvo type="num" val="0"/>
        <cfvo type="num" val="1"/>
        <color rgb="FF7030A0"/>
      </dataBar>
      <extLst>
        <ext xmlns:x14="http://schemas.microsoft.com/office/spreadsheetml/2009/9/main" uri="{B025F937-C7B1-47D3-B67F-A62EFF666E3E}">
          <x14:id>{D7E1AFF5-92B8-425E-BFE2-16E67769C859}</x14:id>
        </ext>
      </extLst>
    </cfRule>
  </conditionalFormatting>
  <conditionalFormatting sqref="Q21">
    <cfRule type="dataBar" priority="12">
      <dataBar>
        <cfvo type="num" val="0"/>
        <cfvo type="num" val="1"/>
        <color rgb="FF7030A0"/>
      </dataBar>
      <extLst>
        <ext xmlns:x14="http://schemas.microsoft.com/office/spreadsheetml/2009/9/main" uri="{B025F937-C7B1-47D3-B67F-A62EFF666E3E}">
          <x14:id>{ACF4022F-7C3D-4139-B5CA-0BA42EBB3C1A}</x14:id>
        </ext>
      </extLst>
    </cfRule>
  </conditionalFormatting>
  <conditionalFormatting sqref="Q22">
    <cfRule type="dataBar" priority="11">
      <dataBar>
        <cfvo type="num" val="0"/>
        <cfvo type="num" val="1"/>
        <color rgb="FF7030A0"/>
      </dataBar>
      <extLst>
        <ext xmlns:x14="http://schemas.microsoft.com/office/spreadsheetml/2009/9/main" uri="{B025F937-C7B1-47D3-B67F-A62EFF666E3E}">
          <x14:id>{F05042AC-C716-4E5B-9AB3-89168BD8D2B9}</x14:id>
        </ext>
      </extLst>
    </cfRule>
  </conditionalFormatting>
  <conditionalFormatting sqref="Q23">
    <cfRule type="dataBar" priority="10">
      <dataBar>
        <cfvo type="num" val="0"/>
        <cfvo type="num" val="1"/>
        <color rgb="FF7030A0"/>
      </dataBar>
      <extLst>
        <ext xmlns:x14="http://schemas.microsoft.com/office/spreadsheetml/2009/9/main" uri="{B025F937-C7B1-47D3-B67F-A62EFF666E3E}">
          <x14:id>{4510A446-A427-4BEE-85C0-D6A4D5E4DF27}</x14:id>
        </ext>
      </extLst>
    </cfRule>
  </conditionalFormatting>
  <conditionalFormatting sqref="Q24">
    <cfRule type="dataBar" priority="9">
      <dataBar>
        <cfvo type="num" val="0"/>
        <cfvo type="num" val="1"/>
        <color rgb="FF7030A0"/>
      </dataBar>
      <extLst>
        <ext xmlns:x14="http://schemas.microsoft.com/office/spreadsheetml/2009/9/main" uri="{B025F937-C7B1-47D3-B67F-A62EFF666E3E}">
          <x14:id>{01837F9C-0A93-4616-95F1-5D241DB8E8DF}</x14:id>
        </ext>
      </extLst>
    </cfRule>
  </conditionalFormatting>
  <conditionalFormatting sqref="Q25">
    <cfRule type="dataBar" priority="8">
      <dataBar>
        <cfvo type="num" val="0"/>
        <cfvo type="num" val="1"/>
        <color rgb="FF7030A0"/>
      </dataBar>
      <extLst>
        <ext xmlns:x14="http://schemas.microsoft.com/office/spreadsheetml/2009/9/main" uri="{B025F937-C7B1-47D3-B67F-A62EFF666E3E}">
          <x14:id>{E7CCF06A-B610-429A-98A2-1EB08C5953DC}</x14:id>
        </ext>
      </extLst>
    </cfRule>
  </conditionalFormatting>
  <conditionalFormatting sqref="Q26">
    <cfRule type="dataBar" priority="7">
      <dataBar>
        <cfvo type="num" val="0"/>
        <cfvo type="num" val="1"/>
        <color rgb="FF7030A0"/>
      </dataBar>
      <extLst>
        <ext xmlns:x14="http://schemas.microsoft.com/office/spreadsheetml/2009/9/main" uri="{B025F937-C7B1-47D3-B67F-A62EFF666E3E}">
          <x14:id>{45B99F41-8848-4A05-AC8A-21C1868DB7F3}</x14:id>
        </ext>
      </extLst>
    </cfRule>
  </conditionalFormatting>
  <conditionalFormatting sqref="R7:NS26">
    <cfRule type="expression" dxfId="1" priority="1">
      <formula>AND(NOT(ISBLANK($K7)),NOT(ISBLANK($M7)),R$5&gt;=$K7,R$5&lt;=$K7+INT($M7*$Q7)-1)</formula>
    </cfRule>
    <cfRule type="expression" dxfId="0" priority="13">
      <formula>AND(R$5&gt;=$K7,R$5&lt;=$L7)</formula>
    </cfRule>
  </conditionalFormatting>
  <dataValidations count="1">
    <dataValidation type="list" allowBlank="1" showInputMessage="1" showErrorMessage="1" sqref="O7:O26" xr:uid="{00000000-0002-0000-0100-000000000000}">
      <formula1>"进行中,未启动,已完成,暂停,延期"</formula1>
    </dataValidation>
  </dataValidations>
  <pageMargins left="0.16111111111111101" right="0.196527777777778" top="0" bottom="0" header="0.5" footer="0.5"/>
  <pageSetup paperSize="9" scale="61" orientation="landscape"/>
  <extLst>
    <ext xmlns:x14="http://schemas.microsoft.com/office/spreadsheetml/2009/9/main" uri="{78C0D931-6437-407d-A8EE-F0AAD7539E65}">
      <x14:conditionalFormattings>
        <x14:conditionalFormatting xmlns:xm="http://schemas.microsoft.com/office/excel/2006/main">
          <x14:cfRule type="dataBar" id="{D7E1AFF5-92B8-425E-BFE2-16E67769C859}">
            <x14:dataBar minLength="0" maxLength="100" border="1" gradient="0">
              <x14:cfvo type="num">
                <xm:f>0</xm:f>
              </x14:cfvo>
              <x14:cfvo type="num">
                <xm:f>1</xm:f>
              </x14:cfvo>
              <x14:borderColor rgb="FF7030A0"/>
              <x14:negativeFillColor rgb="FFFF0000"/>
              <x14:axisColor rgb="FF000000"/>
            </x14:dataBar>
          </x14:cfRule>
          <xm:sqref>Q4:Q20 Q1 Q27:Q29</xm:sqref>
        </x14:conditionalFormatting>
        <x14:conditionalFormatting xmlns:xm="http://schemas.microsoft.com/office/excel/2006/main">
          <x14:cfRule type="dataBar" id="{ACF4022F-7C3D-4139-B5CA-0BA42EBB3C1A}">
            <x14:dataBar minLength="0" maxLength="100" border="1" gradient="0">
              <x14:cfvo type="num">
                <xm:f>0</xm:f>
              </x14:cfvo>
              <x14:cfvo type="num">
                <xm:f>1</xm:f>
              </x14:cfvo>
              <x14:borderColor rgb="FF7030A0"/>
              <x14:negativeFillColor rgb="FFFF0000"/>
              <x14:axisColor rgb="FF000000"/>
            </x14:dataBar>
          </x14:cfRule>
          <xm:sqref>Q21</xm:sqref>
        </x14:conditionalFormatting>
        <x14:conditionalFormatting xmlns:xm="http://schemas.microsoft.com/office/excel/2006/main">
          <x14:cfRule type="dataBar" id="{F05042AC-C716-4E5B-9AB3-89168BD8D2B9}">
            <x14:dataBar minLength="0" maxLength="100" border="1" gradient="0">
              <x14:cfvo type="num">
                <xm:f>0</xm:f>
              </x14:cfvo>
              <x14:cfvo type="num">
                <xm:f>1</xm:f>
              </x14:cfvo>
              <x14:borderColor rgb="FF7030A0"/>
              <x14:negativeFillColor rgb="FFFF0000"/>
              <x14:axisColor rgb="FF000000"/>
            </x14:dataBar>
          </x14:cfRule>
          <xm:sqref>Q22</xm:sqref>
        </x14:conditionalFormatting>
        <x14:conditionalFormatting xmlns:xm="http://schemas.microsoft.com/office/excel/2006/main">
          <x14:cfRule type="dataBar" id="{4510A446-A427-4BEE-85C0-D6A4D5E4DF27}">
            <x14:dataBar minLength="0" maxLength="100" border="1" gradient="0">
              <x14:cfvo type="num">
                <xm:f>0</xm:f>
              </x14:cfvo>
              <x14:cfvo type="num">
                <xm:f>1</xm:f>
              </x14:cfvo>
              <x14:borderColor rgb="FF7030A0"/>
              <x14:negativeFillColor rgb="FFFF0000"/>
              <x14:axisColor rgb="FF000000"/>
            </x14:dataBar>
          </x14:cfRule>
          <xm:sqref>Q23</xm:sqref>
        </x14:conditionalFormatting>
        <x14:conditionalFormatting xmlns:xm="http://schemas.microsoft.com/office/excel/2006/main">
          <x14:cfRule type="dataBar" id="{01837F9C-0A93-4616-95F1-5D241DB8E8DF}">
            <x14:dataBar minLength="0" maxLength="100" border="1" gradient="0">
              <x14:cfvo type="num">
                <xm:f>0</xm:f>
              </x14:cfvo>
              <x14:cfvo type="num">
                <xm:f>1</xm:f>
              </x14:cfvo>
              <x14:borderColor rgb="FF7030A0"/>
              <x14:negativeFillColor rgb="FFFF0000"/>
              <x14:axisColor rgb="FF000000"/>
            </x14:dataBar>
          </x14:cfRule>
          <xm:sqref>Q24</xm:sqref>
        </x14:conditionalFormatting>
        <x14:conditionalFormatting xmlns:xm="http://schemas.microsoft.com/office/excel/2006/main">
          <x14:cfRule type="dataBar" id="{E7CCF06A-B610-429A-98A2-1EB08C5953DC}">
            <x14:dataBar minLength="0" maxLength="100" border="1" gradient="0">
              <x14:cfvo type="num">
                <xm:f>0</xm:f>
              </x14:cfvo>
              <x14:cfvo type="num">
                <xm:f>1</xm:f>
              </x14:cfvo>
              <x14:borderColor rgb="FF7030A0"/>
              <x14:negativeFillColor rgb="FFFF0000"/>
              <x14:axisColor rgb="FF000000"/>
            </x14:dataBar>
          </x14:cfRule>
          <xm:sqref>Q25</xm:sqref>
        </x14:conditionalFormatting>
        <x14:conditionalFormatting xmlns:xm="http://schemas.microsoft.com/office/excel/2006/main">
          <x14:cfRule type="dataBar" id="{45B99F41-8848-4A05-AC8A-21C1868DB7F3}">
            <x14:dataBar minLength="0" maxLength="100" border="1" gradient="0">
              <x14:cfvo type="num">
                <xm:f>0</xm:f>
              </x14:cfvo>
              <x14:cfvo type="num">
                <xm:f>1</xm:f>
              </x14:cfvo>
              <x14:borderColor rgb="FF7030A0"/>
              <x14:negativeFillColor rgb="FFFF0000"/>
              <x14:axisColor rgb="FF000000"/>
            </x14:dataBar>
          </x14:cfRule>
          <xm:sqref>Q26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4"/>
  <sheetViews>
    <sheetView tabSelected="1" topLeftCell="B1" workbookViewId="0">
      <pane xSplit="1" ySplit="1" topLeftCell="C31" activePane="bottomRight" state="frozen"/>
      <selection pane="topRight"/>
      <selection pane="bottomLeft"/>
      <selection pane="bottomRight" activeCell="C55" sqref="C55:R65"/>
    </sheetView>
  </sheetViews>
  <sheetFormatPr baseColWidth="10" defaultColWidth="8.6640625" defaultRowHeight="14"/>
  <cols>
    <col min="1" max="1" width="11.5" customWidth="1"/>
    <col min="2" max="2" width="14.5" customWidth="1"/>
    <col min="17" max="17" width="3.6640625" customWidth="1"/>
    <col min="18" max="18" width="6.33203125" customWidth="1"/>
    <col min="19" max="19" width="63.1640625" style="5" customWidth="1"/>
    <col min="20" max="28" width="14.5" style="42" customWidth="1"/>
  </cols>
  <sheetData>
    <row r="1" spans="1:28" s="40" customFormat="1" ht="42" customHeight="1">
      <c r="A1" s="43" t="s">
        <v>51</v>
      </c>
      <c r="B1" s="44" t="s">
        <v>2</v>
      </c>
      <c r="C1" s="153" t="s">
        <v>110</v>
      </c>
      <c r="D1" s="153"/>
      <c r="E1" s="153"/>
      <c r="F1" s="153"/>
      <c r="G1" s="153"/>
      <c r="H1" s="153"/>
      <c r="I1" s="153"/>
      <c r="J1" s="153"/>
      <c r="K1" s="153"/>
      <c r="L1" s="153"/>
      <c r="M1" s="153"/>
      <c r="N1" s="153"/>
      <c r="O1" s="153"/>
      <c r="P1" s="153"/>
      <c r="Q1" s="153"/>
      <c r="R1" s="153"/>
      <c r="S1" s="44"/>
      <c r="T1" s="45" t="s">
        <v>60</v>
      </c>
      <c r="U1" s="46" t="s">
        <v>54</v>
      </c>
      <c r="V1" s="46" t="s">
        <v>55</v>
      </c>
      <c r="W1" s="46" t="s">
        <v>56</v>
      </c>
      <c r="X1" s="46" t="s">
        <v>57</v>
      </c>
      <c r="Y1" s="46" t="s">
        <v>111</v>
      </c>
      <c r="Z1" s="46" t="s">
        <v>112</v>
      </c>
      <c r="AA1" s="46" t="s">
        <v>61</v>
      </c>
      <c r="AB1" s="46" t="s">
        <v>62</v>
      </c>
    </row>
    <row r="2" spans="1:28" s="41" customFormat="1" ht="17" customHeight="1">
      <c r="A2" s="154"/>
      <c r="B2" s="157" t="s">
        <v>113</v>
      </c>
      <c r="C2" s="163" t="s">
        <v>114</v>
      </c>
      <c r="D2" s="163"/>
      <c r="E2" s="163"/>
      <c r="F2" s="163"/>
      <c r="G2" s="163"/>
      <c r="H2" s="163"/>
      <c r="I2" s="163"/>
      <c r="J2" s="163"/>
      <c r="K2" s="163"/>
      <c r="L2" s="163"/>
      <c r="M2" s="163"/>
      <c r="N2" s="163"/>
      <c r="O2" s="163"/>
      <c r="P2" s="163"/>
      <c r="Q2" s="163"/>
      <c r="R2" s="164"/>
      <c r="S2" s="47" t="s">
        <v>115</v>
      </c>
      <c r="T2" s="159">
        <v>3</v>
      </c>
      <c r="U2" s="160"/>
      <c r="V2" s="157"/>
      <c r="W2" s="160"/>
      <c r="X2" s="160"/>
      <c r="Y2" s="161">
        <v>45903</v>
      </c>
      <c r="Z2" s="161">
        <v>45941</v>
      </c>
      <c r="AA2" s="160" t="s">
        <v>116</v>
      </c>
      <c r="AB2" s="160"/>
    </row>
    <row r="3" spans="1:28" s="41" customFormat="1" ht="17" customHeight="1">
      <c r="A3" s="154"/>
      <c r="B3" s="157"/>
      <c r="C3" s="163"/>
      <c r="D3" s="163"/>
      <c r="E3" s="163"/>
      <c r="F3" s="163"/>
      <c r="G3" s="163"/>
      <c r="H3" s="163"/>
      <c r="I3" s="163"/>
      <c r="J3" s="163"/>
      <c r="K3" s="163"/>
      <c r="L3" s="163"/>
      <c r="M3" s="163"/>
      <c r="N3" s="163"/>
      <c r="O3" s="163"/>
      <c r="P3" s="163"/>
      <c r="Q3" s="163"/>
      <c r="R3" s="164"/>
      <c r="S3" s="47"/>
      <c r="T3" s="159"/>
      <c r="U3" s="160"/>
      <c r="V3" s="157"/>
      <c r="W3" s="160"/>
      <c r="X3" s="160"/>
      <c r="Y3" s="160"/>
      <c r="Z3" s="160"/>
      <c r="AA3" s="160"/>
      <c r="AB3" s="160"/>
    </row>
    <row r="4" spans="1:28" s="41" customFormat="1" ht="17" customHeight="1">
      <c r="A4" s="154"/>
      <c r="B4" s="157"/>
      <c r="C4" s="163"/>
      <c r="D4" s="163"/>
      <c r="E4" s="163"/>
      <c r="F4" s="163"/>
      <c r="G4" s="163"/>
      <c r="H4" s="163"/>
      <c r="I4" s="163"/>
      <c r="J4" s="163"/>
      <c r="K4" s="163"/>
      <c r="L4" s="163"/>
      <c r="M4" s="163"/>
      <c r="N4" s="163"/>
      <c r="O4" s="163"/>
      <c r="P4" s="163"/>
      <c r="Q4" s="163"/>
      <c r="R4" s="164"/>
      <c r="S4" s="47"/>
      <c r="T4" s="159"/>
      <c r="U4" s="160"/>
      <c r="V4" s="157"/>
      <c r="W4" s="160"/>
      <c r="X4" s="160"/>
      <c r="Y4" s="160"/>
      <c r="Z4" s="160"/>
      <c r="AA4" s="160"/>
      <c r="AB4" s="160"/>
    </row>
    <row r="5" spans="1:28" s="41" customFormat="1" ht="69" customHeight="1">
      <c r="A5" s="154"/>
      <c r="B5" s="157"/>
      <c r="C5" s="163"/>
      <c r="D5" s="163"/>
      <c r="E5" s="163"/>
      <c r="F5" s="163"/>
      <c r="G5" s="163"/>
      <c r="H5" s="163"/>
      <c r="I5" s="163"/>
      <c r="J5" s="163"/>
      <c r="K5" s="163"/>
      <c r="L5" s="163"/>
      <c r="M5" s="163"/>
      <c r="N5" s="163"/>
      <c r="O5" s="163"/>
      <c r="P5" s="163"/>
      <c r="Q5" s="163"/>
      <c r="R5" s="164"/>
      <c r="S5" s="47"/>
      <c r="T5" s="159"/>
      <c r="U5" s="160"/>
      <c r="V5" s="157"/>
      <c r="W5" s="160"/>
      <c r="X5" s="160"/>
      <c r="Y5" s="160"/>
      <c r="Z5" s="160"/>
      <c r="AA5" s="160"/>
      <c r="AB5" s="160"/>
    </row>
    <row r="6" spans="1:28" s="41" customFormat="1">
      <c r="A6" s="154"/>
      <c r="B6" s="157" t="s">
        <v>117</v>
      </c>
      <c r="C6" s="163" t="s">
        <v>118</v>
      </c>
      <c r="D6" s="163"/>
      <c r="E6" s="163"/>
      <c r="F6" s="163"/>
      <c r="G6" s="163"/>
      <c r="H6" s="163"/>
      <c r="I6" s="163"/>
      <c r="J6" s="163"/>
      <c r="K6" s="163"/>
      <c r="L6" s="163"/>
      <c r="M6" s="163"/>
      <c r="N6" s="163"/>
      <c r="O6" s="163"/>
      <c r="P6" s="163"/>
      <c r="Q6" s="163"/>
      <c r="R6" s="164"/>
      <c r="S6" s="47"/>
      <c r="T6" s="159">
        <v>3</v>
      </c>
      <c r="U6" s="160"/>
      <c r="V6" s="160"/>
      <c r="W6" s="160"/>
      <c r="X6" s="160"/>
      <c r="Y6" s="161">
        <v>45943</v>
      </c>
      <c r="Z6" s="161">
        <v>45945</v>
      </c>
      <c r="AA6" s="160" t="s">
        <v>119</v>
      </c>
      <c r="AB6" s="160"/>
    </row>
    <row r="7" spans="1:28" s="41" customFormat="1">
      <c r="A7" s="154"/>
      <c r="B7" s="157"/>
      <c r="C7" s="163"/>
      <c r="D7" s="163"/>
      <c r="E7" s="163"/>
      <c r="F7" s="163"/>
      <c r="G7" s="163"/>
      <c r="H7" s="163"/>
      <c r="I7" s="163"/>
      <c r="J7" s="163"/>
      <c r="K7" s="163"/>
      <c r="L7" s="163"/>
      <c r="M7" s="163"/>
      <c r="N7" s="163"/>
      <c r="O7" s="163"/>
      <c r="P7" s="163"/>
      <c r="Q7" s="163"/>
      <c r="R7" s="164"/>
      <c r="S7" s="47"/>
      <c r="T7" s="159"/>
      <c r="U7" s="160"/>
      <c r="V7" s="160"/>
      <c r="W7" s="160"/>
      <c r="X7" s="160"/>
      <c r="Y7" s="160"/>
      <c r="Z7" s="160"/>
      <c r="AA7" s="160"/>
      <c r="AB7" s="160"/>
    </row>
    <row r="8" spans="1:28" s="41" customFormat="1">
      <c r="A8" s="154"/>
      <c r="B8" s="157"/>
      <c r="C8" s="163"/>
      <c r="D8" s="163"/>
      <c r="E8" s="163"/>
      <c r="F8" s="163"/>
      <c r="G8" s="163"/>
      <c r="H8" s="163"/>
      <c r="I8" s="163"/>
      <c r="J8" s="163"/>
      <c r="K8" s="163"/>
      <c r="L8" s="163"/>
      <c r="M8" s="163"/>
      <c r="N8" s="163"/>
      <c r="O8" s="163"/>
      <c r="P8" s="163"/>
      <c r="Q8" s="163"/>
      <c r="R8" s="164"/>
      <c r="S8" s="47"/>
      <c r="T8" s="159"/>
      <c r="U8" s="160"/>
      <c r="V8" s="160"/>
      <c r="W8" s="160"/>
      <c r="X8" s="160"/>
      <c r="Y8" s="160"/>
      <c r="Z8" s="160"/>
      <c r="AA8" s="160"/>
      <c r="AB8" s="160"/>
    </row>
    <row r="9" spans="1:28" s="41" customFormat="1">
      <c r="A9" s="154"/>
      <c r="B9" s="157"/>
      <c r="C9" s="163"/>
      <c r="D9" s="163"/>
      <c r="E9" s="163"/>
      <c r="F9" s="163"/>
      <c r="G9" s="163"/>
      <c r="H9" s="163"/>
      <c r="I9" s="163"/>
      <c r="J9" s="163"/>
      <c r="K9" s="163"/>
      <c r="L9" s="163"/>
      <c r="M9" s="163"/>
      <c r="N9" s="163"/>
      <c r="O9" s="163"/>
      <c r="P9" s="163"/>
      <c r="Q9" s="163"/>
      <c r="R9" s="164"/>
      <c r="S9" s="47"/>
      <c r="T9" s="159"/>
      <c r="U9" s="160"/>
      <c r="V9" s="160"/>
      <c r="W9" s="160"/>
      <c r="X9" s="160"/>
      <c r="Y9" s="160"/>
      <c r="Z9" s="160"/>
      <c r="AA9" s="160"/>
      <c r="AB9" s="160"/>
    </row>
    <row r="10" spans="1:28" s="41" customFormat="1">
      <c r="A10" s="154"/>
      <c r="B10" s="157"/>
      <c r="C10" s="163"/>
      <c r="D10" s="163"/>
      <c r="E10" s="163"/>
      <c r="F10" s="163"/>
      <c r="G10" s="163"/>
      <c r="H10" s="163"/>
      <c r="I10" s="163"/>
      <c r="J10" s="163"/>
      <c r="K10" s="163"/>
      <c r="L10" s="163"/>
      <c r="M10" s="163"/>
      <c r="N10" s="163"/>
      <c r="O10" s="163"/>
      <c r="P10" s="163"/>
      <c r="Q10" s="163"/>
      <c r="R10" s="164"/>
      <c r="S10" s="47"/>
      <c r="T10" s="159"/>
      <c r="U10" s="160"/>
      <c r="V10" s="160"/>
      <c r="W10" s="160"/>
      <c r="X10" s="160"/>
      <c r="Y10" s="160"/>
      <c r="Z10" s="160"/>
      <c r="AA10" s="160"/>
      <c r="AB10" s="160"/>
    </row>
    <row r="11" spans="1:28" s="41" customFormat="1">
      <c r="A11" s="154"/>
      <c r="B11" s="157"/>
      <c r="C11" s="163"/>
      <c r="D11" s="163"/>
      <c r="E11" s="163"/>
      <c r="F11" s="163"/>
      <c r="G11" s="163"/>
      <c r="H11" s="163"/>
      <c r="I11" s="163"/>
      <c r="J11" s="163"/>
      <c r="K11" s="163"/>
      <c r="L11" s="163"/>
      <c r="M11" s="163"/>
      <c r="N11" s="163"/>
      <c r="O11" s="163"/>
      <c r="P11" s="163"/>
      <c r="Q11" s="163"/>
      <c r="R11" s="164"/>
      <c r="S11" s="47"/>
      <c r="T11" s="159"/>
      <c r="U11" s="160"/>
      <c r="V11" s="160"/>
      <c r="W11" s="160"/>
      <c r="X11" s="160"/>
      <c r="Y11" s="160"/>
      <c r="Z11" s="160"/>
      <c r="AA11" s="160"/>
      <c r="AB11" s="160"/>
    </row>
    <row r="12" spans="1:28" s="41" customFormat="1">
      <c r="A12" s="154"/>
      <c r="B12" s="157" t="s">
        <v>120</v>
      </c>
      <c r="C12" s="163" t="s">
        <v>121</v>
      </c>
      <c r="D12" s="163"/>
      <c r="E12" s="163"/>
      <c r="F12" s="163"/>
      <c r="G12" s="163"/>
      <c r="H12" s="163"/>
      <c r="I12" s="163"/>
      <c r="J12" s="163"/>
      <c r="K12" s="163"/>
      <c r="L12" s="163"/>
      <c r="M12" s="163"/>
      <c r="N12" s="163"/>
      <c r="O12" s="163"/>
      <c r="P12" s="163"/>
      <c r="Q12" s="163"/>
      <c r="R12" s="164"/>
      <c r="S12" s="47"/>
      <c r="T12" s="159">
        <v>3</v>
      </c>
      <c r="U12" s="160"/>
      <c r="V12" s="160"/>
      <c r="W12" s="160"/>
      <c r="X12" s="160"/>
      <c r="Y12" s="161">
        <v>45946</v>
      </c>
      <c r="Z12" s="161">
        <v>45950</v>
      </c>
      <c r="AA12" s="160" t="s">
        <v>119</v>
      </c>
      <c r="AB12" s="160"/>
    </row>
    <row r="13" spans="1:28" s="41" customFormat="1">
      <c r="A13" s="154"/>
      <c r="B13" s="157"/>
      <c r="C13" s="163"/>
      <c r="D13" s="163"/>
      <c r="E13" s="163"/>
      <c r="F13" s="163"/>
      <c r="G13" s="163"/>
      <c r="H13" s="163"/>
      <c r="I13" s="163"/>
      <c r="J13" s="163"/>
      <c r="K13" s="163"/>
      <c r="L13" s="163"/>
      <c r="M13" s="163"/>
      <c r="N13" s="163"/>
      <c r="O13" s="163"/>
      <c r="P13" s="163"/>
      <c r="Q13" s="163"/>
      <c r="R13" s="164"/>
      <c r="S13" s="47"/>
      <c r="T13" s="159"/>
      <c r="U13" s="160"/>
      <c r="V13" s="160"/>
      <c r="W13" s="160"/>
      <c r="X13" s="160"/>
      <c r="Y13" s="160"/>
      <c r="Z13" s="160"/>
      <c r="AA13" s="160"/>
      <c r="AB13" s="160"/>
    </row>
    <row r="14" spans="1:28" s="41" customFormat="1">
      <c r="A14" s="154"/>
      <c r="B14" s="157"/>
      <c r="C14" s="163"/>
      <c r="D14" s="163"/>
      <c r="E14" s="163"/>
      <c r="F14" s="163"/>
      <c r="G14" s="163"/>
      <c r="H14" s="163"/>
      <c r="I14" s="163"/>
      <c r="J14" s="163"/>
      <c r="K14" s="163"/>
      <c r="L14" s="163"/>
      <c r="M14" s="163"/>
      <c r="N14" s="163"/>
      <c r="O14" s="163"/>
      <c r="P14" s="163"/>
      <c r="Q14" s="163"/>
      <c r="R14" s="164"/>
      <c r="S14" s="47"/>
      <c r="T14" s="159"/>
      <c r="U14" s="160"/>
      <c r="V14" s="160"/>
      <c r="W14" s="160"/>
      <c r="X14" s="160"/>
      <c r="Y14" s="160"/>
      <c r="Z14" s="160"/>
      <c r="AA14" s="160"/>
      <c r="AB14" s="160"/>
    </row>
    <row r="15" spans="1:28" s="41" customFormat="1">
      <c r="A15" s="154"/>
      <c r="B15" s="157"/>
      <c r="C15" s="163"/>
      <c r="D15" s="163"/>
      <c r="E15" s="163"/>
      <c r="F15" s="163"/>
      <c r="G15" s="163"/>
      <c r="H15" s="163"/>
      <c r="I15" s="163"/>
      <c r="J15" s="163"/>
      <c r="K15" s="163"/>
      <c r="L15" s="163"/>
      <c r="M15" s="163"/>
      <c r="N15" s="163"/>
      <c r="O15" s="163"/>
      <c r="P15" s="163"/>
      <c r="Q15" s="163"/>
      <c r="R15" s="164"/>
      <c r="S15" s="47"/>
      <c r="T15" s="159"/>
      <c r="U15" s="160"/>
      <c r="V15" s="160"/>
      <c r="W15" s="160"/>
      <c r="X15" s="160"/>
      <c r="Y15" s="160"/>
      <c r="Z15" s="160"/>
      <c r="AA15" s="160"/>
      <c r="AB15" s="160"/>
    </row>
    <row r="16" spans="1:28" s="41" customFormat="1" ht="33" customHeight="1">
      <c r="A16" s="154"/>
      <c r="B16" s="157"/>
      <c r="C16" s="163"/>
      <c r="D16" s="163"/>
      <c r="E16" s="163"/>
      <c r="F16" s="163"/>
      <c r="G16" s="163"/>
      <c r="H16" s="163"/>
      <c r="I16" s="163"/>
      <c r="J16" s="163"/>
      <c r="K16" s="163"/>
      <c r="L16" s="163"/>
      <c r="M16" s="163"/>
      <c r="N16" s="163"/>
      <c r="O16" s="163"/>
      <c r="P16" s="163"/>
      <c r="Q16" s="163"/>
      <c r="R16" s="164"/>
      <c r="S16" s="47"/>
      <c r="T16" s="159"/>
      <c r="U16" s="160"/>
      <c r="V16" s="160"/>
      <c r="W16" s="160"/>
      <c r="X16" s="160"/>
      <c r="Y16" s="160"/>
      <c r="Z16" s="160"/>
      <c r="AA16" s="160"/>
      <c r="AB16" s="160"/>
    </row>
    <row r="17" spans="1:28" s="41" customFormat="1">
      <c r="A17" s="154"/>
      <c r="B17" s="157" t="s">
        <v>122</v>
      </c>
      <c r="C17" s="163" t="s">
        <v>123</v>
      </c>
      <c r="D17" s="163"/>
      <c r="E17" s="163"/>
      <c r="F17" s="163"/>
      <c r="G17" s="163"/>
      <c r="H17" s="163"/>
      <c r="I17" s="163"/>
      <c r="J17" s="163"/>
      <c r="K17" s="163"/>
      <c r="L17" s="163"/>
      <c r="M17" s="163"/>
      <c r="N17" s="163"/>
      <c r="O17" s="163"/>
      <c r="P17" s="163"/>
      <c r="Q17" s="163"/>
      <c r="R17" s="164"/>
      <c r="S17" s="47"/>
      <c r="T17" s="159">
        <v>3</v>
      </c>
      <c r="U17" s="160"/>
      <c r="V17" s="160"/>
      <c r="W17" s="160"/>
      <c r="X17" s="160"/>
      <c r="Y17" s="161">
        <v>45951</v>
      </c>
      <c r="Z17" s="161">
        <v>45953</v>
      </c>
      <c r="AA17" s="160" t="s">
        <v>119</v>
      </c>
      <c r="AB17" s="160"/>
    </row>
    <row r="18" spans="1:28" s="41" customFormat="1">
      <c r="A18" s="154"/>
      <c r="B18" s="157"/>
      <c r="C18" s="163"/>
      <c r="D18" s="163"/>
      <c r="E18" s="163"/>
      <c r="F18" s="163"/>
      <c r="G18" s="163"/>
      <c r="H18" s="163"/>
      <c r="I18" s="163"/>
      <c r="J18" s="163"/>
      <c r="K18" s="163"/>
      <c r="L18" s="163"/>
      <c r="M18" s="163"/>
      <c r="N18" s="163"/>
      <c r="O18" s="163"/>
      <c r="P18" s="163"/>
      <c r="Q18" s="163"/>
      <c r="R18" s="164"/>
      <c r="S18" s="47"/>
      <c r="T18" s="159"/>
      <c r="U18" s="160"/>
      <c r="V18" s="160"/>
      <c r="W18" s="160"/>
      <c r="X18" s="160"/>
      <c r="Y18" s="160"/>
      <c r="Z18" s="160"/>
      <c r="AA18" s="160"/>
      <c r="AB18" s="160"/>
    </row>
    <row r="19" spans="1:28" s="41" customFormat="1">
      <c r="A19" s="154"/>
      <c r="B19" s="157"/>
      <c r="C19" s="163"/>
      <c r="D19" s="163"/>
      <c r="E19" s="163"/>
      <c r="F19" s="163"/>
      <c r="G19" s="163"/>
      <c r="H19" s="163"/>
      <c r="I19" s="163"/>
      <c r="J19" s="163"/>
      <c r="K19" s="163"/>
      <c r="L19" s="163"/>
      <c r="M19" s="163"/>
      <c r="N19" s="163"/>
      <c r="O19" s="163"/>
      <c r="P19" s="163"/>
      <c r="Q19" s="163"/>
      <c r="R19" s="164"/>
      <c r="S19" s="47"/>
      <c r="T19" s="159"/>
      <c r="U19" s="160"/>
      <c r="V19" s="160"/>
      <c r="W19" s="160"/>
      <c r="X19" s="160"/>
      <c r="Y19" s="160"/>
      <c r="Z19" s="160"/>
      <c r="AA19" s="160"/>
      <c r="AB19" s="160"/>
    </row>
    <row r="20" spans="1:28" s="41" customFormat="1">
      <c r="A20" s="154"/>
      <c r="B20" s="157"/>
      <c r="C20" s="163"/>
      <c r="D20" s="163"/>
      <c r="E20" s="163"/>
      <c r="F20" s="163"/>
      <c r="G20" s="163"/>
      <c r="H20" s="163"/>
      <c r="I20" s="163"/>
      <c r="J20" s="163"/>
      <c r="K20" s="163"/>
      <c r="L20" s="163"/>
      <c r="M20" s="163"/>
      <c r="N20" s="163"/>
      <c r="O20" s="163"/>
      <c r="P20" s="163"/>
      <c r="Q20" s="163"/>
      <c r="R20" s="164"/>
      <c r="S20" s="47"/>
      <c r="T20" s="159"/>
      <c r="U20" s="160"/>
      <c r="V20" s="160"/>
      <c r="W20" s="160"/>
      <c r="X20" s="160"/>
      <c r="Y20" s="160"/>
      <c r="Z20" s="160"/>
      <c r="AA20" s="160"/>
      <c r="AB20" s="160"/>
    </row>
    <row r="21" spans="1:28" s="41" customFormat="1">
      <c r="A21" s="154"/>
      <c r="B21" s="157" t="s">
        <v>124</v>
      </c>
      <c r="C21" s="163" t="s">
        <v>125</v>
      </c>
      <c r="D21" s="163"/>
      <c r="E21" s="163"/>
      <c r="F21" s="163"/>
      <c r="G21" s="163"/>
      <c r="H21" s="163"/>
      <c r="I21" s="163"/>
      <c r="J21" s="163"/>
      <c r="K21" s="163"/>
      <c r="L21" s="163"/>
      <c r="M21" s="163"/>
      <c r="N21" s="163"/>
      <c r="O21" s="163"/>
      <c r="P21" s="163"/>
      <c r="Q21" s="163"/>
      <c r="R21" s="164"/>
      <c r="S21" s="47"/>
      <c r="T21" s="159">
        <v>3</v>
      </c>
      <c r="U21" s="160"/>
      <c r="V21" s="160"/>
      <c r="W21" s="160"/>
      <c r="X21" s="160"/>
      <c r="Y21" s="161">
        <v>45954</v>
      </c>
      <c r="Z21" s="161">
        <v>45957</v>
      </c>
      <c r="AA21" s="160" t="s">
        <v>119</v>
      </c>
      <c r="AB21" s="160"/>
    </row>
    <row r="22" spans="1:28" s="41" customFormat="1">
      <c r="A22" s="154"/>
      <c r="B22" s="157"/>
      <c r="C22" s="163"/>
      <c r="D22" s="163"/>
      <c r="E22" s="163"/>
      <c r="F22" s="163"/>
      <c r="G22" s="163"/>
      <c r="H22" s="163"/>
      <c r="I22" s="163"/>
      <c r="J22" s="163"/>
      <c r="K22" s="163"/>
      <c r="L22" s="163"/>
      <c r="M22" s="163"/>
      <c r="N22" s="163"/>
      <c r="O22" s="163"/>
      <c r="P22" s="163"/>
      <c r="Q22" s="163"/>
      <c r="R22" s="164"/>
      <c r="S22" s="47"/>
      <c r="T22" s="159"/>
      <c r="U22" s="160"/>
      <c r="V22" s="160"/>
      <c r="W22" s="160"/>
      <c r="X22" s="160"/>
      <c r="Y22" s="160"/>
      <c r="Z22" s="160"/>
      <c r="AA22" s="160"/>
      <c r="AB22" s="160"/>
    </row>
    <row r="23" spans="1:28" s="41" customFormat="1">
      <c r="A23" s="154"/>
      <c r="B23" s="157"/>
      <c r="C23" s="163"/>
      <c r="D23" s="163"/>
      <c r="E23" s="163"/>
      <c r="F23" s="163"/>
      <c r="G23" s="163"/>
      <c r="H23" s="163"/>
      <c r="I23" s="163"/>
      <c r="J23" s="163"/>
      <c r="K23" s="163"/>
      <c r="L23" s="163"/>
      <c r="M23" s="163"/>
      <c r="N23" s="163"/>
      <c r="O23" s="163"/>
      <c r="P23" s="163"/>
      <c r="Q23" s="163"/>
      <c r="R23" s="164"/>
      <c r="S23" s="47"/>
      <c r="T23" s="159"/>
      <c r="U23" s="160"/>
      <c r="V23" s="160"/>
      <c r="W23" s="160"/>
      <c r="X23" s="160"/>
      <c r="Y23" s="160"/>
      <c r="Z23" s="160"/>
      <c r="AA23" s="160"/>
      <c r="AB23" s="160"/>
    </row>
    <row r="24" spans="1:28" s="41" customFormat="1">
      <c r="A24" s="154"/>
      <c r="B24" s="157"/>
      <c r="C24" s="163"/>
      <c r="D24" s="163"/>
      <c r="E24" s="163"/>
      <c r="F24" s="163"/>
      <c r="G24" s="163"/>
      <c r="H24" s="163"/>
      <c r="I24" s="163"/>
      <c r="J24" s="163"/>
      <c r="K24" s="163"/>
      <c r="L24" s="163"/>
      <c r="M24" s="163"/>
      <c r="N24" s="163"/>
      <c r="O24" s="163"/>
      <c r="P24" s="163"/>
      <c r="Q24" s="163"/>
      <c r="R24" s="164"/>
      <c r="S24" s="47"/>
      <c r="T24" s="159"/>
      <c r="U24" s="160"/>
      <c r="V24" s="160"/>
      <c r="W24" s="160"/>
      <c r="X24" s="160"/>
      <c r="Y24" s="160"/>
      <c r="Z24" s="160"/>
      <c r="AA24" s="160"/>
      <c r="AB24" s="160"/>
    </row>
    <row r="25" spans="1:28" s="41" customFormat="1">
      <c r="A25" s="154"/>
      <c r="B25" s="157"/>
      <c r="C25" s="163"/>
      <c r="D25" s="163"/>
      <c r="E25" s="163"/>
      <c r="F25" s="163"/>
      <c r="G25" s="163"/>
      <c r="H25" s="163"/>
      <c r="I25" s="163"/>
      <c r="J25" s="163"/>
      <c r="K25" s="163"/>
      <c r="L25" s="163"/>
      <c r="M25" s="163"/>
      <c r="N25" s="163"/>
      <c r="O25" s="163"/>
      <c r="P25" s="163"/>
      <c r="Q25" s="163"/>
      <c r="R25" s="164"/>
      <c r="S25" s="47"/>
      <c r="T25" s="159"/>
      <c r="U25" s="160"/>
      <c r="V25" s="160"/>
      <c r="W25" s="160"/>
      <c r="X25" s="160"/>
      <c r="Y25" s="160"/>
      <c r="Z25" s="160"/>
      <c r="AA25" s="160"/>
      <c r="AB25" s="160"/>
    </row>
    <row r="26" spans="1:28" s="41" customFormat="1">
      <c r="A26" s="154"/>
      <c r="B26" s="157"/>
      <c r="C26" s="163"/>
      <c r="D26" s="163"/>
      <c r="E26" s="163"/>
      <c r="F26" s="163"/>
      <c r="G26" s="163"/>
      <c r="H26" s="163"/>
      <c r="I26" s="163"/>
      <c r="J26" s="163"/>
      <c r="K26" s="163"/>
      <c r="L26" s="163"/>
      <c r="M26" s="163"/>
      <c r="N26" s="163"/>
      <c r="O26" s="163"/>
      <c r="P26" s="163"/>
      <c r="Q26" s="163"/>
      <c r="R26" s="164"/>
      <c r="S26" s="47"/>
      <c r="T26" s="159"/>
      <c r="U26" s="160"/>
      <c r="V26" s="160"/>
      <c r="W26" s="160"/>
      <c r="X26" s="160"/>
      <c r="Y26" s="160"/>
      <c r="Z26" s="160"/>
      <c r="AA26" s="160"/>
      <c r="AB26" s="160"/>
    </row>
    <row r="27" spans="1:28" s="41" customFormat="1">
      <c r="A27" s="155" t="s">
        <v>126</v>
      </c>
      <c r="B27" s="158" t="s">
        <v>127</v>
      </c>
      <c r="C27" s="163" t="s">
        <v>128</v>
      </c>
      <c r="D27" s="163"/>
      <c r="E27" s="163"/>
      <c r="F27" s="163"/>
      <c r="G27" s="163"/>
      <c r="H27" s="163"/>
      <c r="I27" s="163"/>
      <c r="J27" s="163"/>
      <c r="K27" s="163"/>
      <c r="L27" s="163"/>
      <c r="M27" s="163"/>
      <c r="N27" s="163"/>
      <c r="O27" s="163"/>
      <c r="P27" s="163"/>
      <c r="Q27" s="163"/>
      <c r="R27" s="164"/>
      <c r="S27" s="47"/>
      <c r="T27" s="159">
        <v>5</v>
      </c>
      <c r="U27" s="159"/>
      <c r="V27" s="159"/>
      <c r="W27" s="159"/>
      <c r="X27" s="159"/>
      <c r="Y27" s="162">
        <v>45958</v>
      </c>
      <c r="Z27" s="162">
        <v>45964</v>
      </c>
      <c r="AA27" s="159" t="s">
        <v>119</v>
      </c>
      <c r="AB27" s="159"/>
    </row>
    <row r="28" spans="1:28" s="41" customFormat="1">
      <c r="A28" s="156"/>
      <c r="B28" s="158"/>
      <c r="C28" s="163"/>
      <c r="D28" s="163"/>
      <c r="E28" s="163"/>
      <c r="F28" s="163"/>
      <c r="G28" s="163"/>
      <c r="H28" s="163"/>
      <c r="I28" s="163"/>
      <c r="J28" s="163"/>
      <c r="K28" s="163"/>
      <c r="L28" s="163"/>
      <c r="M28" s="163"/>
      <c r="N28" s="163"/>
      <c r="O28" s="163"/>
      <c r="P28" s="163"/>
      <c r="Q28" s="163"/>
      <c r="R28" s="164"/>
      <c r="S28" s="47"/>
      <c r="T28" s="159"/>
      <c r="U28" s="159"/>
      <c r="V28" s="159"/>
      <c r="W28" s="159"/>
      <c r="X28" s="159"/>
      <c r="Y28" s="159"/>
      <c r="Z28" s="159"/>
      <c r="AA28" s="159"/>
      <c r="AB28" s="159"/>
    </row>
    <row r="29" spans="1:28" s="41" customFormat="1">
      <c r="A29" s="156"/>
      <c r="B29" s="158"/>
      <c r="C29" s="163"/>
      <c r="D29" s="163"/>
      <c r="E29" s="163"/>
      <c r="F29" s="163"/>
      <c r="G29" s="163"/>
      <c r="H29" s="163"/>
      <c r="I29" s="163"/>
      <c r="J29" s="163"/>
      <c r="K29" s="163"/>
      <c r="L29" s="163"/>
      <c r="M29" s="163"/>
      <c r="N29" s="163"/>
      <c r="O29" s="163"/>
      <c r="P29" s="163"/>
      <c r="Q29" s="163"/>
      <c r="R29" s="164"/>
      <c r="S29" s="47"/>
      <c r="T29" s="159"/>
      <c r="U29" s="159"/>
      <c r="V29" s="159"/>
      <c r="W29" s="159"/>
      <c r="X29" s="159"/>
      <c r="Y29" s="159"/>
      <c r="Z29" s="159"/>
      <c r="AA29" s="159"/>
      <c r="AB29" s="159"/>
    </row>
    <row r="30" spans="1:28" s="41" customFormat="1">
      <c r="A30" s="156"/>
      <c r="B30" s="158"/>
      <c r="C30" s="163"/>
      <c r="D30" s="163"/>
      <c r="E30" s="163"/>
      <c r="F30" s="163"/>
      <c r="G30" s="163"/>
      <c r="H30" s="163"/>
      <c r="I30" s="163"/>
      <c r="J30" s="163"/>
      <c r="K30" s="163"/>
      <c r="L30" s="163"/>
      <c r="M30" s="163"/>
      <c r="N30" s="163"/>
      <c r="O30" s="163"/>
      <c r="P30" s="163"/>
      <c r="Q30" s="163"/>
      <c r="R30" s="164"/>
      <c r="S30" s="47"/>
      <c r="T30" s="159"/>
      <c r="U30" s="159"/>
      <c r="V30" s="159"/>
      <c r="W30" s="159"/>
      <c r="X30" s="159"/>
      <c r="Y30" s="159"/>
      <c r="Z30" s="159"/>
      <c r="AA30" s="159"/>
      <c r="AB30" s="159"/>
    </row>
    <row r="31" spans="1:28" s="41" customFormat="1">
      <c r="A31" s="156"/>
      <c r="B31" s="158"/>
      <c r="C31" s="163"/>
      <c r="D31" s="163"/>
      <c r="E31" s="163"/>
      <c r="F31" s="163"/>
      <c r="G31" s="163"/>
      <c r="H31" s="163"/>
      <c r="I31" s="163"/>
      <c r="J31" s="163"/>
      <c r="K31" s="163"/>
      <c r="L31" s="163"/>
      <c r="M31" s="163"/>
      <c r="N31" s="163"/>
      <c r="O31" s="163"/>
      <c r="P31" s="163"/>
      <c r="Q31" s="163"/>
      <c r="R31" s="164"/>
      <c r="S31" s="47"/>
      <c r="T31" s="159"/>
      <c r="U31" s="159"/>
      <c r="V31" s="159"/>
      <c r="W31" s="159"/>
      <c r="X31" s="159"/>
      <c r="Y31" s="159"/>
      <c r="Z31" s="159"/>
      <c r="AA31" s="159"/>
      <c r="AB31" s="159"/>
    </row>
    <row r="32" spans="1:28" s="41" customFormat="1">
      <c r="A32" s="156"/>
      <c r="B32" s="158"/>
      <c r="C32" s="163"/>
      <c r="D32" s="163"/>
      <c r="E32" s="163"/>
      <c r="F32" s="163"/>
      <c r="G32" s="163"/>
      <c r="H32" s="163"/>
      <c r="I32" s="163"/>
      <c r="J32" s="163"/>
      <c r="K32" s="163"/>
      <c r="L32" s="163"/>
      <c r="M32" s="163"/>
      <c r="N32" s="163"/>
      <c r="O32" s="163"/>
      <c r="P32" s="163"/>
      <c r="Q32" s="163"/>
      <c r="R32" s="164"/>
      <c r="S32" s="47"/>
      <c r="T32" s="159"/>
      <c r="U32" s="159"/>
      <c r="V32" s="159"/>
      <c r="W32" s="159"/>
      <c r="X32" s="159"/>
      <c r="Y32" s="159"/>
      <c r="Z32" s="159"/>
      <c r="AA32" s="159"/>
      <c r="AB32" s="159"/>
    </row>
    <row r="33" spans="1:28" s="41" customFormat="1">
      <c r="A33" s="156"/>
      <c r="B33" s="158"/>
      <c r="C33" s="163"/>
      <c r="D33" s="163"/>
      <c r="E33" s="163"/>
      <c r="F33" s="163"/>
      <c r="G33" s="163"/>
      <c r="H33" s="163"/>
      <c r="I33" s="163"/>
      <c r="J33" s="163"/>
      <c r="K33" s="163"/>
      <c r="L33" s="163"/>
      <c r="M33" s="163"/>
      <c r="N33" s="163"/>
      <c r="O33" s="163"/>
      <c r="P33" s="163"/>
      <c r="Q33" s="163"/>
      <c r="R33" s="164"/>
      <c r="S33" s="47"/>
      <c r="T33" s="159"/>
      <c r="U33" s="159"/>
      <c r="V33" s="159"/>
      <c r="W33" s="159"/>
      <c r="X33" s="159"/>
      <c r="Y33" s="159"/>
      <c r="Z33" s="159"/>
      <c r="AA33" s="159"/>
      <c r="AB33" s="159"/>
    </row>
    <row r="34" spans="1:28" s="41" customFormat="1">
      <c r="A34" s="156"/>
      <c r="B34" s="158"/>
      <c r="C34" s="163"/>
      <c r="D34" s="163"/>
      <c r="E34" s="163"/>
      <c r="F34" s="163"/>
      <c r="G34" s="163"/>
      <c r="H34" s="163"/>
      <c r="I34" s="163"/>
      <c r="J34" s="163"/>
      <c r="K34" s="163"/>
      <c r="L34" s="163"/>
      <c r="M34" s="163"/>
      <c r="N34" s="163"/>
      <c r="O34" s="163"/>
      <c r="P34" s="163"/>
      <c r="Q34" s="163"/>
      <c r="R34" s="164"/>
      <c r="S34" s="47"/>
      <c r="T34" s="159"/>
      <c r="U34" s="159"/>
      <c r="V34" s="159"/>
      <c r="W34" s="159"/>
      <c r="X34" s="159"/>
      <c r="Y34" s="159"/>
      <c r="Z34" s="159"/>
      <c r="AA34" s="159"/>
      <c r="AB34" s="159"/>
    </row>
    <row r="35" spans="1:28" s="41" customFormat="1" ht="77" customHeight="1">
      <c r="A35" s="156"/>
      <c r="B35" s="158"/>
      <c r="C35" s="163"/>
      <c r="D35" s="163"/>
      <c r="E35" s="163"/>
      <c r="F35" s="163"/>
      <c r="G35" s="163"/>
      <c r="H35" s="163"/>
      <c r="I35" s="163"/>
      <c r="J35" s="163"/>
      <c r="K35" s="163"/>
      <c r="L35" s="163"/>
      <c r="M35" s="163"/>
      <c r="N35" s="163"/>
      <c r="O35" s="163"/>
      <c r="P35" s="163"/>
      <c r="Q35" s="163"/>
      <c r="R35" s="164"/>
      <c r="S35" s="47"/>
      <c r="T35" s="159"/>
      <c r="U35" s="159"/>
      <c r="V35" s="159"/>
      <c r="W35" s="159"/>
      <c r="X35" s="159"/>
      <c r="Y35" s="159"/>
      <c r="Z35" s="159"/>
      <c r="AA35" s="159"/>
      <c r="AB35" s="159"/>
    </row>
    <row r="36" spans="1:28" s="41" customFormat="1">
      <c r="A36" s="156"/>
      <c r="B36" s="158" t="s">
        <v>129</v>
      </c>
      <c r="C36" s="163" t="s">
        <v>130</v>
      </c>
      <c r="D36" s="163"/>
      <c r="E36" s="163"/>
      <c r="F36" s="163"/>
      <c r="G36" s="163"/>
      <c r="H36" s="163"/>
      <c r="I36" s="163"/>
      <c r="J36" s="163"/>
      <c r="K36" s="163"/>
      <c r="L36" s="163"/>
      <c r="M36" s="163"/>
      <c r="N36" s="163"/>
      <c r="O36" s="163"/>
      <c r="P36" s="163"/>
      <c r="Q36" s="163"/>
      <c r="R36" s="164"/>
      <c r="S36" s="47"/>
      <c r="T36" s="159">
        <v>5</v>
      </c>
      <c r="U36" s="159"/>
      <c r="V36" s="159"/>
      <c r="W36" s="159"/>
      <c r="X36" s="159"/>
      <c r="Y36" s="162">
        <v>45965</v>
      </c>
      <c r="Z36" s="162">
        <v>45971</v>
      </c>
      <c r="AA36" s="159" t="s">
        <v>119</v>
      </c>
      <c r="AB36" s="159"/>
    </row>
    <row r="37" spans="1:28" s="41" customFormat="1">
      <c r="A37" s="156"/>
      <c r="B37" s="158"/>
      <c r="C37" s="163"/>
      <c r="D37" s="163"/>
      <c r="E37" s="163"/>
      <c r="F37" s="163"/>
      <c r="G37" s="163"/>
      <c r="H37" s="163"/>
      <c r="I37" s="163"/>
      <c r="J37" s="163"/>
      <c r="K37" s="163"/>
      <c r="L37" s="163"/>
      <c r="M37" s="163"/>
      <c r="N37" s="163"/>
      <c r="O37" s="163"/>
      <c r="P37" s="163"/>
      <c r="Q37" s="163"/>
      <c r="R37" s="164"/>
      <c r="S37" s="47"/>
      <c r="T37" s="159"/>
      <c r="U37" s="159"/>
      <c r="V37" s="159"/>
      <c r="W37" s="159"/>
      <c r="X37" s="159"/>
      <c r="Y37" s="159"/>
      <c r="Z37" s="159"/>
      <c r="AA37" s="159"/>
      <c r="AB37" s="159"/>
    </row>
    <row r="38" spans="1:28" s="41" customFormat="1">
      <c r="A38" s="156"/>
      <c r="B38" s="158"/>
      <c r="C38" s="163"/>
      <c r="D38" s="163"/>
      <c r="E38" s="163"/>
      <c r="F38" s="163"/>
      <c r="G38" s="163"/>
      <c r="H38" s="163"/>
      <c r="I38" s="163"/>
      <c r="J38" s="163"/>
      <c r="K38" s="163"/>
      <c r="L38" s="163"/>
      <c r="M38" s="163"/>
      <c r="N38" s="163"/>
      <c r="O38" s="163"/>
      <c r="P38" s="163"/>
      <c r="Q38" s="163"/>
      <c r="R38" s="164"/>
      <c r="S38" s="47"/>
      <c r="T38" s="159"/>
      <c r="U38" s="159"/>
      <c r="V38" s="159"/>
      <c r="W38" s="159"/>
      <c r="X38" s="159"/>
      <c r="Y38" s="159"/>
      <c r="Z38" s="159"/>
      <c r="AA38" s="159"/>
      <c r="AB38" s="159"/>
    </row>
    <row r="39" spans="1:28" s="41" customFormat="1">
      <c r="A39" s="156"/>
      <c r="B39" s="158"/>
      <c r="C39" s="163"/>
      <c r="D39" s="163"/>
      <c r="E39" s="163"/>
      <c r="F39" s="163"/>
      <c r="G39" s="163"/>
      <c r="H39" s="163"/>
      <c r="I39" s="163"/>
      <c r="J39" s="163"/>
      <c r="K39" s="163"/>
      <c r="L39" s="163"/>
      <c r="M39" s="163"/>
      <c r="N39" s="163"/>
      <c r="O39" s="163"/>
      <c r="P39" s="163"/>
      <c r="Q39" s="163"/>
      <c r="R39" s="164"/>
      <c r="S39" s="47"/>
      <c r="T39" s="159"/>
      <c r="U39" s="159"/>
      <c r="V39" s="159"/>
      <c r="W39" s="159"/>
      <c r="X39" s="159"/>
      <c r="Y39" s="159"/>
      <c r="Z39" s="159"/>
      <c r="AA39" s="159"/>
      <c r="AB39" s="159"/>
    </row>
    <row r="40" spans="1:28" s="41" customFormat="1">
      <c r="A40" s="156"/>
      <c r="B40" s="158"/>
      <c r="C40" s="163"/>
      <c r="D40" s="163"/>
      <c r="E40" s="163"/>
      <c r="F40" s="163"/>
      <c r="G40" s="163"/>
      <c r="H40" s="163"/>
      <c r="I40" s="163"/>
      <c r="J40" s="163"/>
      <c r="K40" s="163"/>
      <c r="L40" s="163"/>
      <c r="M40" s="163"/>
      <c r="N40" s="163"/>
      <c r="O40" s="163"/>
      <c r="P40" s="163"/>
      <c r="Q40" s="163"/>
      <c r="R40" s="164"/>
      <c r="S40" s="47"/>
      <c r="T40" s="159"/>
      <c r="U40" s="159"/>
      <c r="V40" s="159"/>
      <c r="W40" s="159"/>
      <c r="X40" s="159"/>
      <c r="Y40" s="159"/>
      <c r="Z40" s="159"/>
      <c r="AA40" s="159"/>
      <c r="AB40" s="159"/>
    </row>
    <row r="41" spans="1:28" s="41" customFormat="1">
      <c r="A41" s="156"/>
      <c r="B41" s="158"/>
      <c r="C41" s="163"/>
      <c r="D41" s="163"/>
      <c r="E41" s="163"/>
      <c r="F41" s="163"/>
      <c r="G41" s="163"/>
      <c r="H41" s="163"/>
      <c r="I41" s="163"/>
      <c r="J41" s="163"/>
      <c r="K41" s="163"/>
      <c r="L41" s="163"/>
      <c r="M41" s="163"/>
      <c r="N41" s="163"/>
      <c r="O41" s="163"/>
      <c r="P41" s="163"/>
      <c r="Q41" s="163"/>
      <c r="R41" s="164"/>
      <c r="S41" s="47"/>
      <c r="T41" s="159"/>
      <c r="U41" s="159"/>
      <c r="V41" s="159"/>
      <c r="W41" s="159"/>
      <c r="X41" s="159"/>
      <c r="Y41" s="159"/>
      <c r="Z41" s="159"/>
      <c r="AA41" s="159"/>
      <c r="AB41" s="159"/>
    </row>
    <row r="42" spans="1:28" s="41" customFormat="1">
      <c r="A42" s="156"/>
      <c r="B42" s="158"/>
      <c r="C42" s="163"/>
      <c r="D42" s="163"/>
      <c r="E42" s="163"/>
      <c r="F42" s="163"/>
      <c r="G42" s="163"/>
      <c r="H42" s="163"/>
      <c r="I42" s="163"/>
      <c r="J42" s="163"/>
      <c r="K42" s="163"/>
      <c r="L42" s="163"/>
      <c r="M42" s="163"/>
      <c r="N42" s="163"/>
      <c r="O42" s="163"/>
      <c r="P42" s="163"/>
      <c r="Q42" s="163"/>
      <c r="R42" s="164"/>
      <c r="S42" s="47"/>
      <c r="T42" s="159"/>
      <c r="U42" s="159"/>
      <c r="V42" s="159"/>
      <c r="W42" s="159"/>
      <c r="X42" s="159"/>
      <c r="Y42" s="159"/>
      <c r="Z42" s="159"/>
      <c r="AA42" s="159"/>
      <c r="AB42" s="159"/>
    </row>
    <row r="43" spans="1:28" s="41" customFormat="1">
      <c r="A43" s="156"/>
      <c r="B43" s="158"/>
      <c r="C43" s="163"/>
      <c r="D43" s="163"/>
      <c r="E43" s="163"/>
      <c r="F43" s="163"/>
      <c r="G43" s="163"/>
      <c r="H43" s="163"/>
      <c r="I43" s="163"/>
      <c r="J43" s="163"/>
      <c r="K43" s="163"/>
      <c r="L43" s="163"/>
      <c r="M43" s="163"/>
      <c r="N43" s="163"/>
      <c r="O43" s="163"/>
      <c r="P43" s="163"/>
      <c r="Q43" s="163"/>
      <c r="R43" s="164"/>
      <c r="S43" s="47"/>
      <c r="T43" s="159"/>
      <c r="U43" s="159"/>
      <c r="V43" s="159"/>
      <c r="W43" s="159"/>
      <c r="X43" s="159"/>
      <c r="Y43" s="159"/>
      <c r="Z43" s="159"/>
      <c r="AA43" s="159"/>
      <c r="AB43" s="159"/>
    </row>
    <row r="44" spans="1:28" s="41" customFormat="1">
      <c r="A44" s="156"/>
      <c r="B44" s="158"/>
      <c r="C44" s="163"/>
      <c r="D44" s="163"/>
      <c r="E44" s="163"/>
      <c r="F44" s="163"/>
      <c r="G44" s="163"/>
      <c r="H44" s="163"/>
      <c r="I44" s="163"/>
      <c r="J44" s="163"/>
      <c r="K44" s="163"/>
      <c r="L44" s="163"/>
      <c r="M44" s="163"/>
      <c r="N44" s="163"/>
      <c r="O44" s="163"/>
      <c r="P44" s="163"/>
      <c r="Q44" s="163"/>
      <c r="R44" s="164"/>
      <c r="S44" s="47"/>
      <c r="T44" s="159"/>
      <c r="U44" s="159"/>
      <c r="V44" s="159"/>
      <c r="W44" s="159"/>
      <c r="X44" s="159"/>
      <c r="Y44" s="159"/>
      <c r="Z44" s="159"/>
      <c r="AA44" s="159"/>
      <c r="AB44" s="159"/>
    </row>
    <row r="45" spans="1:28" s="41" customFormat="1">
      <c r="A45" s="156"/>
      <c r="B45" s="158"/>
      <c r="C45" s="163"/>
      <c r="D45" s="163"/>
      <c r="E45" s="163"/>
      <c r="F45" s="163"/>
      <c r="G45" s="163"/>
      <c r="H45" s="163"/>
      <c r="I45" s="163"/>
      <c r="J45" s="163"/>
      <c r="K45" s="163"/>
      <c r="L45" s="163"/>
      <c r="M45" s="163"/>
      <c r="N45" s="163"/>
      <c r="O45" s="163"/>
      <c r="P45" s="163"/>
      <c r="Q45" s="163"/>
      <c r="R45" s="164"/>
      <c r="S45" s="47"/>
      <c r="T45" s="159"/>
      <c r="U45" s="159"/>
      <c r="V45" s="159"/>
      <c r="W45" s="159"/>
      <c r="X45" s="159"/>
      <c r="Y45" s="159"/>
      <c r="Z45" s="159"/>
      <c r="AA45" s="159"/>
      <c r="AB45" s="159"/>
    </row>
    <row r="46" spans="1:28" s="41" customFormat="1">
      <c r="A46" s="156"/>
      <c r="B46" s="158" t="s">
        <v>131</v>
      </c>
      <c r="C46" s="163" t="s">
        <v>132</v>
      </c>
      <c r="D46" s="163"/>
      <c r="E46" s="163"/>
      <c r="F46" s="163"/>
      <c r="G46" s="163"/>
      <c r="H46" s="163"/>
      <c r="I46" s="163"/>
      <c r="J46" s="163"/>
      <c r="K46" s="163"/>
      <c r="L46" s="163"/>
      <c r="M46" s="163"/>
      <c r="N46" s="163"/>
      <c r="O46" s="163"/>
      <c r="P46" s="163"/>
      <c r="Q46" s="163"/>
      <c r="R46" s="164"/>
      <c r="S46" s="47"/>
      <c r="T46" s="159">
        <v>3</v>
      </c>
      <c r="U46" s="159"/>
      <c r="V46" s="159"/>
      <c r="W46" s="159"/>
      <c r="X46" s="159"/>
      <c r="Y46" s="162">
        <v>45972</v>
      </c>
      <c r="Z46" s="162">
        <v>45974</v>
      </c>
      <c r="AA46" s="159" t="s">
        <v>119</v>
      </c>
      <c r="AB46" s="159"/>
    </row>
    <row r="47" spans="1:28" s="41" customFormat="1">
      <c r="A47" s="156"/>
      <c r="B47" s="158"/>
      <c r="C47" s="163"/>
      <c r="D47" s="163"/>
      <c r="E47" s="163"/>
      <c r="F47" s="163"/>
      <c r="G47" s="163"/>
      <c r="H47" s="163"/>
      <c r="I47" s="163"/>
      <c r="J47" s="163"/>
      <c r="K47" s="163"/>
      <c r="L47" s="163"/>
      <c r="M47" s="163"/>
      <c r="N47" s="163"/>
      <c r="O47" s="163"/>
      <c r="P47" s="163"/>
      <c r="Q47" s="163"/>
      <c r="R47" s="164"/>
      <c r="S47" s="47"/>
      <c r="T47" s="159"/>
      <c r="U47" s="159"/>
      <c r="V47" s="159"/>
      <c r="W47" s="159"/>
      <c r="X47" s="159"/>
      <c r="Y47" s="159"/>
      <c r="Z47" s="159"/>
      <c r="AA47" s="159"/>
      <c r="AB47" s="159"/>
    </row>
    <row r="48" spans="1:28" s="41" customFormat="1">
      <c r="A48" s="156"/>
      <c r="B48" s="158"/>
      <c r="C48" s="163"/>
      <c r="D48" s="163"/>
      <c r="E48" s="163"/>
      <c r="F48" s="163"/>
      <c r="G48" s="163"/>
      <c r="H48" s="163"/>
      <c r="I48" s="163"/>
      <c r="J48" s="163"/>
      <c r="K48" s="163"/>
      <c r="L48" s="163"/>
      <c r="M48" s="163"/>
      <c r="N48" s="163"/>
      <c r="O48" s="163"/>
      <c r="P48" s="163"/>
      <c r="Q48" s="163"/>
      <c r="R48" s="164"/>
      <c r="S48" s="47"/>
      <c r="T48" s="159"/>
      <c r="U48" s="159"/>
      <c r="V48" s="159"/>
      <c r="W48" s="159"/>
      <c r="X48" s="159"/>
      <c r="Y48" s="159"/>
      <c r="Z48" s="159"/>
      <c r="AA48" s="159"/>
      <c r="AB48" s="159"/>
    </row>
    <row r="49" spans="1:28" s="41" customFormat="1">
      <c r="A49" s="156"/>
      <c r="B49" s="158"/>
      <c r="C49" s="163"/>
      <c r="D49" s="163"/>
      <c r="E49" s="163"/>
      <c r="F49" s="163"/>
      <c r="G49" s="163"/>
      <c r="H49" s="163"/>
      <c r="I49" s="163"/>
      <c r="J49" s="163"/>
      <c r="K49" s="163"/>
      <c r="L49" s="163"/>
      <c r="M49" s="163"/>
      <c r="N49" s="163"/>
      <c r="O49" s="163"/>
      <c r="P49" s="163"/>
      <c r="Q49" s="163"/>
      <c r="R49" s="164"/>
      <c r="S49" s="47"/>
      <c r="T49" s="159"/>
      <c r="U49" s="159"/>
      <c r="V49" s="159"/>
      <c r="W49" s="159"/>
      <c r="X49" s="159"/>
      <c r="Y49" s="159"/>
      <c r="Z49" s="159"/>
      <c r="AA49" s="159"/>
      <c r="AB49" s="159"/>
    </row>
    <row r="50" spans="1:28" s="41" customFormat="1" ht="83" customHeight="1">
      <c r="A50" s="156"/>
      <c r="B50" s="158"/>
      <c r="C50" s="163"/>
      <c r="D50" s="163"/>
      <c r="E50" s="163"/>
      <c r="F50" s="163"/>
      <c r="G50" s="163"/>
      <c r="H50" s="163"/>
      <c r="I50" s="163"/>
      <c r="J50" s="163"/>
      <c r="K50" s="163"/>
      <c r="L50" s="163"/>
      <c r="M50" s="163"/>
      <c r="N50" s="163"/>
      <c r="O50" s="163"/>
      <c r="P50" s="163"/>
      <c r="Q50" s="163"/>
      <c r="R50" s="164"/>
      <c r="S50" s="5"/>
      <c r="T50" s="159"/>
      <c r="U50" s="159"/>
      <c r="V50" s="159"/>
      <c r="W50" s="159"/>
      <c r="X50" s="159"/>
      <c r="Y50" s="159"/>
      <c r="Z50" s="159"/>
      <c r="AA50" s="159"/>
      <c r="AB50" s="159"/>
    </row>
    <row r="51" spans="1:28" s="41" customFormat="1">
      <c r="A51" s="156"/>
      <c r="B51" s="158" t="s">
        <v>133</v>
      </c>
      <c r="C51" s="163" t="s">
        <v>134</v>
      </c>
      <c r="D51" s="163"/>
      <c r="E51" s="163"/>
      <c r="F51" s="163"/>
      <c r="G51" s="163"/>
      <c r="H51" s="163"/>
      <c r="I51" s="163"/>
      <c r="J51" s="163"/>
      <c r="K51" s="163"/>
      <c r="L51" s="163"/>
      <c r="M51" s="163"/>
      <c r="N51" s="163"/>
      <c r="O51" s="163"/>
      <c r="P51" s="163"/>
      <c r="Q51" s="163"/>
      <c r="R51" s="164"/>
      <c r="S51" s="5"/>
      <c r="T51" s="159">
        <v>3</v>
      </c>
      <c r="U51" s="159"/>
      <c r="V51" s="159"/>
      <c r="W51" s="159"/>
      <c r="X51" s="159"/>
      <c r="Y51" s="162">
        <v>45975</v>
      </c>
      <c r="Z51" s="162">
        <v>45979</v>
      </c>
      <c r="AA51" s="159" t="s">
        <v>119</v>
      </c>
      <c r="AB51" s="159"/>
    </row>
    <row r="52" spans="1:28" s="41" customFormat="1">
      <c r="A52" s="156"/>
      <c r="B52" s="158"/>
      <c r="C52" s="163"/>
      <c r="D52" s="163"/>
      <c r="E52" s="163"/>
      <c r="F52" s="163"/>
      <c r="G52" s="163"/>
      <c r="H52" s="163"/>
      <c r="I52" s="163"/>
      <c r="J52" s="163"/>
      <c r="K52" s="163"/>
      <c r="L52" s="163"/>
      <c r="M52" s="163"/>
      <c r="N52" s="163"/>
      <c r="O52" s="163"/>
      <c r="P52" s="163"/>
      <c r="Q52" s="163"/>
      <c r="R52" s="164"/>
      <c r="S52" s="5"/>
      <c r="T52" s="159"/>
      <c r="U52" s="159"/>
      <c r="V52" s="159"/>
      <c r="W52" s="159"/>
      <c r="X52" s="159"/>
      <c r="Y52" s="159"/>
      <c r="Z52" s="159"/>
      <c r="AA52" s="159"/>
      <c r="AB52" s="159"/>
    </row>
    <row r="53" spans="1:28" s="41" customFormat="1">
      <c r="A53" s="156"/>
      <c r="B53" s="158"/>
      <c r="C53" s="163"/>
      <c r="D53" s="163"/>
      <c r="E53" s="163"/>
      <c r="F53" s="163"/>
      <c r="G53" s="163"/>
      <c r="H53" s="163"/>
      <c r="I53" s="163"/>
      <c r="J53" s="163"/>
      <c r="K53" s="163"/>
      <c r="L53" s="163"/>
      <c r="M53" s="163"/>
      <c r="N53" s="163"/>
      <c r="O53" s="163"/>
      <c r="P53" s="163"/>
      <c r="Q53" s="163"/>
      <c r="R53" s="164"/>
      <c r="S53" s="5"/>
      <c r="T53" s="159"/>
      <c r="U53" s="159"/>
      <c r="V53" s="159"/>
      <c r="W53" s="159"/>
      <c r="X53" s="159"/>
      <c r="Y53" s="159"/>
      <c r="Z53" s="159"/>
      <c r="AA53" s="159"/>
      <c r="AB53" s="159"/>
    </row>
    <row r="54" spans="1:28" s="41" customFormat="1" ht="72" customHeight="1">
      <c r="A54" s="156"/>
      <c r="B54" s="158"/>
      <c r="C54" s="163"/>
      <c r="D54" s="163"/>
      <c r="E54" s="163"/>
      <c r="F54" s="163"/>
      <c r="G54" s="163"/>
      <c r="H54" s="163"/>
      <c r="I54" s="163"/>
      <c r="J54" s="163"/>
      <c r="K54" s="163"/>
      <c r="L54" s="163"/>
      <c r="M54" s="163"/>
      <c r="N54" s="163"/>
      <c r="O54" s="163"/>
      <c r="P54" s="163"/>
      <c r="Q54" s="163"/>
      <c r="R54" s="164"/>
      <c r="S54" s="5"/>
      <c r="T54" s="159"/>
      <c r="U54" s="159"/>
      <c r="V54" s="159"/>
      <c r="W54" s="159"/>
      <c r="X54" s="159"/>
      <c r="Y54" s="159"/>
      <c r="Z54" s="159"/>
      <c r="AA54" s="159"/>
      <c r="AB54" s="159"/>
    </row>
    <row r="55" spans="1:28" ht="90">
      <c r="B55" s="157" t="s">
        <v>135</v>
      </c>
      <c r="C55" s="163" t="s">
        <v>136</v>
      </c>
      <c r="D55" s="163"/>
      <c r="E55" s="163"/>
      <c r="F55" s="163"/>
      <c r="G55" s="163"/>
      <c r="H55" s="163"/>
      <c r="I55" s="163"/>
      <c r="J55" s="163"/>
      <c r="K55" s="163"/>
      <c r="L55" s="163"/>
      <c r="M55" s="163"/>
      <c r="N55" s="163"/>
      <c r="O55" s="163"/>
      <c r="P55" s="163"/>
      <c r="Q55" s="163"/>
      <c r="R55" s="164"/>
      <c r="S55" s="47" t="s">
        <v>137</v>
      </c>
      <c r="T55" s="49">
        <v>0.5</v>
      </c>
      <c r="U55" s="160"/>
      <c r="V55" s="160"/>
      <c r="W55" s="160"/>
      <c r="X55" s="160"/>
      <c r="Y55" s="161">
        <v>45980</v>
      </c>
      <c r="Z55" s="161">
        <v>46006</v>
      </c>
      <c r="AA55" s="160" t="s">
        <v>116</v>
      </c>
      <c r="AB55" s="160"/>
    </row>
    <row r="56" spans="1:28" ht="45">
      <c r="B56" s="157"/>
      <c r="C56" s="163"/>
      <c r="D56" s="163"/>
      <c r="E56" s="163"/>
      <c r="F56" s="163"/>
      <c r="G56" s="163"/>
      <c r="H56" s="163"/>
      <c r="I56" s="163"/>
      <c r="J56" s="163"/>
      <c r="K56" s="163"/>
      <c r="L56" s="163"/>
      <c r="M56" s="163"/>
      <c r="N56" s="163"/>
      <c r="O56" s="163"/>
      <c r="P56" s="163"/>
      <c r="Q56" s="163"/>
      <c r="R56" s="164"/>
      <c r="S56" s="50" t="s">
        <v>138</v>
      </c>
      <c r="T56" s="49">
        <v>5</v>
      </c>
      <c r="U56" s="160"/>
      <c r="V56" s="160"/>
      <c r="W56" s="160"/>
      <c r="X56" s="160"/>
      <c r="Y56" s="160"/>
      <c r="Z56" s="160"/>
      <c r="AA56" s="160"/>
      <c r="AB56" s="160"/>
    </row>
    <row r="57" spans="1:28" ht="45">
      <c r="B57" s="157"/>
      <c r="C57" s="163"/>
      <c r="D57" s="163"/>
      <c r="E57" s="163"/>
      <c r="F57" s="163"/>
      <c r="G57" s="163"/>
      <c r="H57" s="163"/>
      <c r="I57" s="163"/>
      <c r="J57" s="163"/>
      <c r="K57" s="163"/>
      <c r="L57" s="163"/>
      <c r="M57" s="163"/>
      <c r="N57" s="163"/>
      <c r="O57" s="163"/>
      <c r="P57" s="163"/>
      <c r="Q57" s="163"/>
      <c r="R57" s="164"/>
      <c r="S57" s="51" t="s">
        <v>139</v>
      </c>
      <c r="T57" s="49">
        <v>3</v>
      </c>
      <c r="U57" s="160"/>
      <c r="V57" s="160"/>
      <c r="W57" s="160"/>
      <c r="X57" s="160"/>
      <c r="Y57" s="160"/>
      <c r="Z57" s="160"/>
      <c r="AA57" s="160"/>
      <c r="AB57" s="160"/>
    </row>
    <row r="58" spans="1:28" ht="61">
      <c r="B58" s="157"/>
      <c r="C58" s="163"/>
      <c r="D58" s="163"/>
      <c r="E58" s="163"/>
      <c r="F58" s="163"/>
      <c r="G58" s="163"/>
      <c r="H58" s="163"/>
      <c r="I58" s="163"/>
      <c r="J58" s="163"/>
      <c r="K58" s="163"/>
      <c r="L58" s="163"/>
      <c r="M58" s="163"/>
      <c r="N58" s="163"/>
      <c r="O58" s="163"/>
      <c r="P58" s="163"/>
      <c r="Q58" s="163"/>
      <c r="R58" s="164"/>
      <c r="S58" s="51" t="s">
        <v>140</v>
      </c>
      <c r="T58" s="49">
        <v>0.5</v>
      </c>
      <c r="U58" s="160"/>
      <c r="V58" s="160"/>
      <c r="W58" s="160"/>
      <c r="X58" s="160"/>
      <c r="Y58" s="160"/>
      <c r="Z58" s="160"/>
      <c r="AA58" s="160"/>
      <c r="AB58" s="160"/>
    </row>
    <row r="59" spans="1:28" ht="46">
      <c r="B59" s="157"/>
      <c r="C59" s="163"/>
      <c r="D59" s="163"/>
      <c r="E59" s="163"/>
      <c r="F59" s="163"/>
      <c r="G59" s="163"/>
      <c r="H59" s="163"/>
      <c r="I59" s="163"/>
      <c r="J59" s="163"/>
      <c r="K59" s="163"/>
      <c r="L59" s="163"/>
      <c r="M59" s="163"/>
      <c r="N59" s="163"/>
      <c r="O59" s="163"/>
      <c r="P59" s="163"/>
      <c r="Q59" s="163"/>
      <c r="R59" s="164"/>
      <c r="S59" s="51" t="s">
        <v>141</v>
      </c>
      <c r="T59" s="49">
        <v>3</v>
      </c>
      <c r="U59" s="160"/>
      <c r="V59" s="160"/>
      <c r="W59" s="160"/>
      <c r="X59" s="160"/>
      <c r="Y59" s="160"/>
      <c r="Z59" s="160"/>
      <c r="AA59" s="160"/>
      <c r="AB59" s="160"/>
    </row>
    <row r="60" spans="1:28" ht="30">
      <c r="B60" s="157"/>
      <c r="C60" s="163"/>
      <c r="D60" s="163"/>
      <c r="E60" s="163"/>
      <c r="F60" s="163"/>
      <c r="G60" s="163"/>
      <c r="H60" s="163"/>
      <c r="I60" s="163"/>
      <c r="J60" s="163"/>
      <c r="K60" s="163"/>
      <c r="L60" s="163"/>
      <c r="M60" s="163"/>
      <c r="N60" s="163"/>
      <c r="O60" s="163"/>
      <c r="P60" s="163"/>
      <c r="Q60" s="163"/>
      <c r="R60" s="164"/>
      <c r="S60" s="52" t="s">
        <v>142</v>
      </c>
      <c r="T60" s="49">
        <v>1</v>
      </c>
      <c r="U60" s="160"/>
      <c r="V60" s="160"/>
      <c r="W60" s="160"/>
      <c r="X60" s="160"/>
      <c r="Y60" s="160"/>
      <c r="Z60" s="160"/>
      <c r="AA60" s="160"/>
      <c r="AB60" s="160"/>
    </row>
    <row r="61" spans="1:28" ht="90">
      <c r="B61" s="157"/>
      <c r="C61" s="163"/>
      <c r="D61" s="163"/>
      <c r="E61" s="163"/>
      <c r="F61" s="163"/>
      <c r="G61" s="163"/>
      <c r="H61" s="163"/>
      <c r="I61" s="163"/>
      <c r="J61" s="163"/>
      <c r="K61" s="163"/>
      <c r="L61" s="163"/>
      <c r="M61" s="163"/>
      <c r="N61" s="163"/>
      <c r="O61" s="163"/>
      <c r="P61" s="163"/>
      <c r="Q61" s="163"/>
      <c r="R61" s="164"/>
      <c r="S61" s="51" t="s">
        <v>143</v>
      </c>
      <c r="T61" s="49">
        <v>2</v>
      </c>
      <c r="U61" s="160"/>
      <c r="V61" s="160"/>
      <c r="W61" s="160"/>
      <c r="X61" s="160"/>
      <c r="Y61" s="160"/>
      <c r="Z61" s="160"/>
      <c r="AA61" s="160"/>
      <c r="AB61" s="160"/>
    </row>
    <row r="62" spans="1:28" ht="75">
      <c r="B62" s="157"/>
      <c r="C62" s="163"/>
      <c r="D62" s="163"/>
      <c r="E62" s="163"/>
      <c r="F62" s="163"/>
      <c r="G62" s="163"/>
      <c r="H62" s="163"/>
      <c r="I62" s="163"/>
      <c r="J62" s="163"/>
      <c r="K62" s="163"/>
      <c r="L62" s="163"/>
      <c r="M62" s="163"/>
      <c r="N62" s="163"/>
      <c r="O62" s="163"/>
      <c r="P62" s="163"/>
      <c r="Q62" s="163"/>
      <c r="R62" s="164"/>
      <c r="S62" s="51" t="s">
        <v>144</v>
      </c>
      <c r="T62" s="49">
        <v>3</v>
      </c>
      <c r="U62" s="160"/>
      <c r="V62" s="160"/>
      <c r="W62" s="160"/>
      <c r="X62" s="160"/>
      <c r="Y62" s="160"/>
      <c r="Z62" s="160"/>
      <c r="AA62" s="160"/>
      <c r="AB62" s="160"/>
    </row>
    <row r="63" spans="1:28" ht="45">
      <c r="B63" s="157"/>
      <c r="C63" s="163"/>
      <c r="D63" s="163"/>
      <c r="E63" s="163"/>
      <c r="F63" s="163"/>
      <c r="G63" s="163"/>
      <c r="H63" s="163"/>
      <c r="I63" s="163"/>
      <c r="J63" s="163"/>
      <c r="K63" s="163"/>
      <c r="L63" s="163"/>
      <c r="M63" s="163"/>
      <c r="N63" s="163"/>
      <c r="O63" s="163"/>
      <c r="P63" s="163"/>
      <c r="Q63" s="163"/>
      <c r="R63" s="164"/>
      <c r="S63" s="47" t="s">
        <v>145</v>
      </c>
      <c r="T63" s="49">
        <v>0.5</v>
      </c>
      <c r="U63" s="160"/>
      <c r="V63" s="160"/>
      <c r="W63" s="160"/>
      <c r="X63" s="160"/>
      <c r="Y63" s="160"/>
      <c r="Z63" s="160"/>
      <c r="AA63" s="160"/>
      <c r="AB63" s="160"/>
    </row>
    <row r="64" spans="1:28" ht="60">
      <c r="B64" s="157"/>
      <c r="C64" s="163"/>
      <c r="D64" s="163"/>
      <c r="E64" s="163"/>
      <c r="F64" s="163"/>
      <c r="G64" s="163"/>
      <c r="H64" s="163"/>
      <c r="I64" s="163"/>
      <c r="J64" s="163"/>
      <c r="K64" s="163"/>
      <c r="L64" s="163"/>
      <c r="M64" s="163"/>
      <c r="N64" s="163"/>
      <c r="O64" s="163"/>
      <c r="P64" s="163"/>
      <c r="Q64" s="163"/>
      <c r="R64" s="164"/>
      <c r="S64" s="47" t="s">
        <v>146</v>
      </c>
      <c r="T64" s="49" t="s">
        <v>147</v>
      </c>
      <c r="U64" s="160"/>
      <c r="V64" s="160"/>
      <c r="W64" s="160"/>
      <c r="X64" s="160"/>
      <c r="Y64" s="160"/>
      <c r="Z64" s="160"/>
      <c r="AA64" s="160"/>
      <c r="AB64" s="160"/>
    </row>
    <row r="65" spans="2:28" ht="45">
      <c r="B65" s="157"/>
      <c r="C65" s="163"/>
      <c r="D65" s="163"/>
      <c r="E65" s="163"/>
      <c r="F65" s="163"/>
      <c r="G65" s="163"/>
      <c r="H65" s="163"/>
      <c r="I65" s="163"/>
      <c r="J65" s="163"/>
      <c r="K65" s="163"/>
      <c r="L65" s="163"/>
      <c r="M65" s="163"/>
      <c r="N65" s="163"/>
      <c r="O65" s="163"/>
      <c r="P65" s="163"/>
      <c r="Q65" s="163"/>
      <c r="R65" s="164"/>
      <c r="S65" s="51" t="s">
        <v>148</v>
      </c>
      <c r="T65" s="49" t="s">
        <v>147</v>
      </c>
      <c r="U65" s="160"/>
      <c r="V65" s="160"/>
      <c r="W65" s="160"/>
      <c r="X65" s="160"/>
      <c r="Y65" s="160"/>
      <c r="Z65" s="160"/>
      <c r="AA65" s="160"/>
      <c r="AB65" s="160"/>
    </row>
    <row r="66" spans="2:28">
      <c r="B66" s="157" t="s">
        <v>149</v>
      </c>
      <c r="C66" s="163" t="s">
        <v>150</v>
      </c>
      <c r="D66" s="163"/>
      <c r="E66" s="163"/>
      <c r="F66" s="163"/>
      <c r="G66" s="163"/>
      <c r="H66" s="163"/>
      <c r="I66" s="163"/>
      <c r="J66" s="163"/>
      <c r="K66" s="163"/>
      <c r="L66" s="163"/>
      <c r="M66" s="163"/>
      <c r="N66" s="163"/>
      <c r="O66" s="163"/>
      <c r="P66" s="163"/>
      <c r="Q66" s="163"/>
      <c r="R66" s="164"/>
      <c r="S66" s="47"/>
      <c r="T66" s="159">
        <v>5</v>
      </c>
      <c r="U66" s="160"/>
      <c r="V66" s="160"/>
      <c r="W66" s="160"/>
      <c r="X66" s="160"/>
      <c r="Y66" s="161">
        <v>46007</v>
      </c>
      <c r="Z66" s="161">
        <v>46013</v>
      </c>
      <c r="AA66" s="160" t="s">
        <v>119</v>
      </c>
      <c r="AB66" s="160"/>
    </row>
    <row r="67" spans="2:28">
      <c r="B67" s="157"/>
      <c r="C67" s="163"/>
      <c r="D67" s="163"/>
      <c r="E67" s="163"/>
      <c r="F67" s="163"/>
      <c r="G67" s="163"/>
      <c r="H67" s="163"/>
      <c r="I67" s="163"/>
      <c r="J67" s="163"/>
      <c r="K67" s="163"/>
      <c r="L67" s="163"/>
      <c r="M67" s="163"/>
      <c r="N67" s="163"/>
      <c r="O67" s="163"/>
      <c r="P67" s="163"/>
      <c r="Q67" s="163"/>
      <c r="R67" s="164"/>
      <c r="S67" s="47"/>
      <c r="T67" s="159"/>
      <c r="U67" s="160"/>
      <c r="V67" s="160"/>
      <c r="W67" s="160"/>
      <c r="X67" s="160"/>
      <c r="Y67" s="160"/>
      <c r="Z67" s="160"/>
      <c r="AA67" s="160"/>
      <c r="AB67" s="160"/>
    </row>
    <row r="68" spans="2:28">
      <c r="B68" s="157"/>
      <c r="C68" s="163"/>
      <c r="D68" s="163"/>
      <c r="E68" s="163"/>
      <c r="F68" s="163"/>
      <c r="G68" s="163"/>
      <c r="H68" s="163"/>
      <c r="I68" s="163"/>
      <c r="J68" s="163"/>
      <c r="K68" s="163"/>
      <c r="L68" s="163"/>
      <c r="M68" s="163"/>
      <c r="N68" s="163"/>
      <c r="O68" s="163"/>
      <c r="P68" s="163"/>
      <c r="Q68" s="163"/>
      <c r="R68" s="164"/>
      <c r="S68" s="47"/>
      <c r="T68" s="159"/>
      <c r="U68" s="160"/>
      <c r="V68" s="160"/>
      <c r="W68" s="160"/>
      <c r="X68" s="160"/>
      <c r="Y68" s="160"/>
      <c r="Z68" s="160"/>
      <c r="AA68" s="160"/>
      <c r="AB68" s="160"/>
    </row>
    <row r="69" spans="2:28">
      <c r="B69" s="157"/>
      <c r="C69" s="163"/>
      <c r="D69" s="163"/>
      <c r="E69" s="163"/>
      <c r="F69" s="163"/>
      <c r="G69" s="163"/>
      <c r="H69" s="163"/>
      <c r="I69" s="163"/>
      <c r="J69" s="163"/>
      <c r="K69" s="163"/>
      <c r="L69" s="163"/>
      <c r="M69" s="163"/>
      <c r="N69" s="163"/>
      <c r="O69" s="163"/>
      <c r="P69" s="163"/>
      <c r="Q69" s="163"/>
      <c r="R69" s="164"/>
      <c r="S69" s="47"/>
      <c r="T69" s="159"/>
      <c r="U69" s="160"/>
      <c r="V69" s="160"/>
      <c r="W69" s="160"/>
      <c r="X69" s="160"/>
      <c r="Y69" s="160"/>
      <c r="Z69" s="160"/>
      <c r="AA69" s="160"/>
      <c r="AB69" s="160"/>
    </row>
    <row r="70" spans="2:28">
      <c r="B70" s="157"/>
      <c r="C70" s="163"/>
      <c r="D70" s="163"/>
      <c r="E70" s="163"/>
      <c r="F70" s="163"/>
      <c r="G70" s="163"/>
      <c r="H70" s="163"/>
      <c r="I70" s="163"/>
      <c r="J70" s="163"/>
      <c r="K70" s="163"/>
      <c r="L70" s="163"/>
      <c r="M70" s="163"/>
      <c r="N70" s="163"/>
      <c r="O70" s="163"/>
      <c r="P70" s="163"/>
      <c r="Q70" s="163"/>
      <c r="R70" s="164"/>
      <c r="S70" s="47"/>
      <c r="T70" s="159"/>
      <c r="U70" s="160"/>
      <c r="V70" s="160"/>
      <c r="W70" s="160"/>
      <c r="X70" s="160"/>
      <c r="Y70" s="160"/>
      <c r="Z70" s="160"/>
      <c r="AA70" s="160"/>
      <c r="AB70" s="160"/>
    </row>
    <row r="71" spans="2:28">
      <c r="B71" s="157"/>
      <c r="C71" s="163"/>
      <c r="D71" s="163"/>
      <c r="E71" s="163"/>
      <c r="F71" s="163"/>
      <c r="G71" s="163"/>
      <c r="H71" s="163"/>
      <c r="I71" s="163"/>
      <c r="J71" s="163"/>
      <c r="K71" s="163"/>
      <c r="L71" s="163"/>
      <c r="M71" s="163"/>
      <c r="N71" s="163"/>
      <c r="O71" s="163"/>
      <c r="P71" s="163"/>
      <c r="Q71" s="163"/>
      <c r="R71" s="164"/>
      <c r="S71" s="47"/>
      <c r="T71" s="159"/>
      <c r="U71" s="160"/>
      <c r="V71" s="160"/>
      <c r="W71" s="160"/>
      <c r="X71" s="160"/>
      <c r="Y71" s="160"/>
      <c r="Z71" s="160"/>
      <c r="AA71" s="160"/>
      <c r="AB71" s="160"/>
    </row>
    <row r="72" spans="2:28">
      <c r="B72" s="157"/>
      <c r="C72" s="163"/>
      <c r="D72" s="163"/>
      <c r="E72" s="163"/>
      <c r="F72" s="163"/>
      <c r="G72" s="163"/>
      <c r="H72" s="163"/>
      <c r="I72" s="163"/>
      <c r="J72" s="163"/>
      <c r="K72" s="163"/>
      <c r="L72" s="163"/>
      <c r="M72" s="163"/>
      <c r="N72" s="163"/>
      <c r="O72" s="163"/>
      <c r="P72" s="163"/>
      <c r="Q72" s="163"/>
      <c r="R72" s="164"/>
      <c r="S72" s="47"/>
      <c r="T72" s="159"/>
      <c r="U72" s="160"/>
      <c r="V72" s="160"/>
      <c r="W72" s="160"/>
      <c r="X72" s="160"/>
      <c r="Y72" s="160"/>
      <c r="Z72" s="160"/>
      <c r="AA72" s="160"/>
      <c r="AB72" s="160"/>
    </row>
    <row r="73" spans="2:28">
      <c r="B73" s="157"/>
      <c r="C73" s="163"/>
      <c r="D73" s="163"/>
      <c r="E73" s="163"/>
      <c r="F73" s="163"/>
      <c r="G73" s="163"/>
      <c r="H73" s="163"/>
      <c r="I73" s="163"/>
      <c r="J73" s="163"/>
      <c r="K73" s="163"/>
      <c r="L73" s="163"/>
      <c r="M73" s="163"/>
      <c r="N73" s="163"/>
      <c r="O73" s="163"/>
      <c r="P73" s="163"/>
      <c r="Q73" s="163"/>
      <c r="R73" s="164"/>
      <c r="S73" s="47"/>
      <c r="T73" s="159"/>
      <c r="U73" s="160"/>
      <c r="V73" s="160"/>
      <c r="W73" s="160"/>
      <c r="X73" s="160"/>
      <c r="Y73" s="160"/>
      <c r="Z73" s="160"/>
      <c r="AA73" s="160"/>
      <c r="AB73" s="160"/>
    </row>
    <row r="74" spans="2:28">
      <c r="Y74" s="42" t="s">
        <v>151</v>
      </c>
    </row>
  </sheetData>
  <mergeCells count="123">
    <mergeCell ref="AA55:AA65"/>
    <mergeCell ref="AA66:AA73"/>
    <mergeCell ref="AB2:AB5"/>
    <mergeCell ref="AB6:AB11"/>
    <mergeCell ref="AB12:AB16"/>
    <mergeCell ref="AB17:AB20"/>
    <mergeCell ref="AB21:AB26"/>
    <mergeCell ref="AB27:AB35"/>
    <mergeCell ref="AB36:AB45"/>
    <mergeCell ref="AB46:AB50"/>
    <mergeCell ref="AB51:AB54"/>
    <mergeCell ref="AB55:AB65"/>
    <mergeCell ref="AB66:AB73"/>
    <mergeCell ref="AA2:AA5"/>
    <mergeCell ref="AA6:AA11"/>
    <mergeCell ref="AA12:AA16"/>
    <mergeCell ref="AA17:AA20"/>
    <mergeCell ref="AA21:AA26"/>
    <mergeCell ref="AA27:AA35"/>
    <mergeCell ref="AA36:AA45"/>
    <mergeCell ref="AA46:AA50"/>
    <mergeCell ref="AA51:AA54"/>
    <mergeCell ref="Y55:Y65"/>
    <mergeCell ref="Y66:Y73"/>
    <mergeCell ref="Z2:Z5"/>
    <mergeCell ref="Z6:Z11"/>
    <mergeCell ref="Z12:Z16"/>
    <mergeCell ref="Z17:Z20"/>
    <mergeCell ref="Z21:Z26"/>
    <mergeCell ref="Z27:Z35"/>
    <mergeCell ref="Z36:Z45"/>
    <mergeCell ref="Z46:Z50"/>
    <mergeCell ref="Z51:Z54"/>
    <mergeCell ref="Z55:Z65"/>
    <mergeCell ref="Z66:Z73"/>
    <mergeCell ref="Y2:Y5"/>
    <mergeCell ref="Y6:Y11"/>
    <mergeCell ref="Y12:Y16"/>
    <mergeCell ref="Y17:Y20"/>
    <mergeCell ref="Y21:Y26"/>
    <mergeCell ref="Y27:Y35"/>
    <mergeCell ref="Y36:Y45"/>
    <mergeCell ref="Y46:Y50"/>
    <mergeCell ref="Y51:Y54"/>
    <mergeCell ref="W55:W65"/>
    <mergeCell ref="W66:W73"/>
    <mergeCell ref="X2:X5"/>
    <mergeCell ref="X6:X11"/>
    <mergeCell ref="X12:X16"/>
    <mergeCell ref="X17:X20"/>
    <mergeCell ref="X21:X26"/>
    <mergeCell ref="X27:X35"/>
    <mergeCell ref="X36:X45"/>
    <mergeCell ref="X46:X50"/>
    <mergeCell ref="X51:X54"/>
    <mergeCell ref="X55:X65"/>
    <mergeCell ref="X66:X73"/>
    <mergeCell ref="W2:W5"/>
    <mergeCell ref="W6:W11"/>
    <mergeCell ref="W12:W16"/>
    <mergeCell ref="W17:W20"/>
    <mergeCell ref="W21:W26"/>
    <mergeCell ref="W27:W35"/>
    <mergeCell ref="W36:W45"/>
    <mergeCell ref="W46:W50"/>
    <mergeCell ref="W51:W54"/>
    <mergeCell ref="U55:U65"/>
    <mergeCell ref="U66:U73"/>
    <mergeCell ref="V2:V5"/>
    <mergeCell ref="V6:V11"/>
    <mergeCell ref="V12:V16"/>
    <mergeCell ref="V17:V20"/>
    <mergeCell ref="V21:V26"/>
    <mergeCell ref="V27:V35"/>
    <mergeCell ref="V36:V45"/>
    <mergeCell ref="V46:V50"/>
    <mergeCell ref="V51:V54"/>
    <mergeCell ref="V55:V65"/>
    <mergeCell ref="V66:V73"/>
    <mergeCell ref="U2:U5"/>
    <mergeCell ref="U6:U11"/>
    <mergeCell ref="U12:U16"/>
    <mergeCell ref="U17:U20"/>
    <mergeCell ref="U21:U26"/>
    <mergeCell ref="U27:U35"/>
    <mergeCell ref="U36:U45"/>
    <mergeCell ref="U46:U50"/>
    <mergeCell ref="U51:U54"/>
    <mergeCell ref="B55:B65"/>
    <mergeCell ref="B66:B73"/>
    <mergeCell ref="T2:T5"/>
    <mergeCell ref="T6:T11"/>
    <mergeCell ref="T12:T16"/>
    <mergeCell ref="T17:T20"/>
    <mergeCell ref="T21:T26"/>
    <mergeCell ref="T27:T35"/>
    <mergeCell ref="T36:T45"/>
    <mergeCell ref="T46:T50"/>
    <mergeCell ref="T51:T54"/>
    <mergeCell ref="T66:T73"/>
    <mergeCell ref="C2:R5"/>
    <mergeCell ref="C6:R11"/>
    <mergeCell ref="C12:R16"/>
    <mergeCell ref="C17:R20"/>
    <mergeCell ref="C21:R26"/>
    <mergeCell ref="C27:R35"/>
    <mergeCell ref="C36:R45"/>
    <mergeCell ref="C46:R50"/>
    <mergeCell ref="C51:R54"/>
    <mergeCell ref="C55:R65"/>
    <mergeCell ref="C66:R73"/>
    <mergeCell ref="C1:R1"/>
    <mergeCell ref="A2:A26"/>
    <mergeCell ref="A27:A54"/>
    <mergeCell ref="B2:B5"/>
    <mergeCell ref="B6:B11"/>
    <mergeCell ref="B12:B16"/>
    <mergeCell ref="B17:B20"/>
    <mergeCell ref="B21:B26"/>
    <mergeCell ref="B27:B35"/>
    <mergeCell ref="B36:B45"/>
    <mergeCell ref="B46:B50"/>
    <mergeCell ref="B51:B54"/>
  </mergeCells>
  <phoneticPr fontId="6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K84"/>
  <sheetViews>
    <sheetView zoomScale="55" zoomScaleNormal="55" workbookViewId="0">
      <pane xSplit="6" ySplit="3" topLeftCell="G4" activePane="bottomRight" state="frozen"/>
      <selection pane="topRight"/>
      <selection pane="bottomLeft"/>
      <selection pane="bottomRight" activeCell="E7" sqref="E7"/>
    </sheetView>
  </sheetViews>
  <sheetFormatPr baseColWidth="10" defaultColWidth="9" defaultRowHeight="14"/>
  <cols>
    <col min="1" max="2" width="6.5" customWidth="1"/>
    <col min="3" max="3" width="8.1640625" customWidth="1"/>
    <col min="4" max="4" width="6.83203125" customWidth="1"/>
    <col min="5" max="5" width="36.5" customWidth="1"/>
    <col min="6" max="6" width="34.1640625" customWidth="1"/>
    <col min="7" max="9" width="14.83203125" customWidth="1"/>
    <col min="10" max="10" width="14.6640625" customWidth="1"/>
    <col min="11" max="11" width="14.83203125" customWidth="1"/>
    <col min="12" max="12" width="14.6640625" customWidth="1"/>
    <col min="13" max="13" width="14.83203125" customWidth="1"/>
    <col min="14" max="14" width="14.6640625" customWidth="1"/>
    <col min="15" max="16" width="15.6640625" customWidth="1"/>
    <col min="17" max="17" width="14.6640625" customWidth="1"/>
    <col min="18" max="18" width="15.6640625" customWidth="1"/>
    <col min="19" max="19" width="14.6640625" customWidth="1"/>
    <col min="20" max="20" width="15.6640625" customWidth="1"/>
    <col min="21" max="21" width="14.6640625" customWidth="1"/>
    <col min="22" max="22" width="15.6640625" customWidth="1"/>
    <col min="23" max="23" width="11.83203125" customWidth="1"/>
    <col min="24" max="24" width="15.6640625" customWidth="1"/>
    <col min="25" max="25" width="11.83203125" customWidth="1"/>
    <col min="26" max="26" width="15.6640625" customWidth="1"/>
    <col min="27" max="27" width="11.83203125" customWidth="1"/>
    <col min="28" max="28" width="15.6640625" customWidth="1"/>
    <col min="29" max="31" width="11.83203125" customWidth="1"/>
    <col min="32" max="32" width="15.6640625" customWidth="1"/>
    <col min="33" max="33" width="11.83203125" customWidth="1"/>
    <col min="34" max="34" width="15.6640625" customWidth="1"/>
    <col min="35" max="35" width="11.83203125" customWidth="1"/>
    <col min="36" max="36" width="15.6640625" customWidth="1"/>
    <col min="37" max="37" width="22.6640625" customWidth="1"/>
  </cols>
  <sheetData>
    <row r="1" spans="1:37" ht="27" customHeight="1">
      <c r="A1" s="216" t="s">
        <v>152</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8"/>
    </row>
    <row r="2" spans="1:37" ht="27" customHeight="1">
      <c r="A2" s="219" t="s">
        <v>153</v>
      </c>
      <c r="B2" s="219" t="s">
        <v>4</v>
      </c>
      <c r="C2" s="219" t="s">
        <v>154</v>
      </c>
      <c r="D2" s="219" t="s">
        <v>155</v>
      </c>
      <c r="E2" s="219" t="s">
        <v>156</v>
      </c>
      <c r="F2" s="219" t="s">
        <v>157</v>
      </c>
      <c r="G2" s="219" t="s">
        <v>158</v>
      </c>
      <c r="H2" s="219" t="s">
        <v>6</v>
      </c>
      <c r="I2" s="219" t="s">
        <v>159</v>
      </c>
      <c r="J2" s="219" t="s">
        <v>160</v>
      </c>
      <c r="K2" s="219" t="s">
        <v>161</v>
      </c>
      <c r="L2" s="219" t="s">
        <v>162</v>
      </c>
      <c r="M2" s="219" t="s">
        <v>163</v>
      </c>
      <c r="N2" s="219" t="s">
        <v>164</v>
      </c>
      <c r="O2" s="219" t="s">
        <v>165</v>
      </c>
      <c r="P2" s="219" t="s">
        <v>166</v>
      </c>
      <c r="Q2" s="219" t="s">
        <v>167</v>
      </c>
      <c r="R2" s="219" t="s">
        <v>168</v>
      </c>
      <c r="S2" s="219" t="s">
        <v>169</v>
      </c>
      <c r="T2" s="219" t="s">
        <v>170</v>
      </c>
      <c r="U2" s="219" t="s">
        <v>171</v>
      </c>
      <c r="V2" s="219" t="s">
        <v>172</v>
      </c>
      <c r="W2" s="219" t="s">
        <v>173</v>
      </c>
      <c r="X2" s="219" t="s">
        <v>174</v>
      </c>
      <c r="Y2" s="219" t="s">
        <v>175</v>
      </c>
      <c r="Z2" s="219" t="s">
        <v>176</v>
      </c>
      <c r="AA2" s="219" t="s">
        <v>177</v>
      </c>
      <c r="AB2" s="219" t="s">
        <v>178</v>
      </c>
      <c r="AC2" s="219" t="s">
        <v>179</v>
      </c>
      <c r="AD2" s="219" t="s">
        <v>180</v>
      </c>
      <c r="AE2" s="219" t="s">
        <v>181</v>
      </c>
      <c r="AF2" s="219" t="s">
        <v>182</v>
      </c>
      <c r="AG2" s="219" t="s">
        <v>183</v>
      </c>
      <c r="AH2" s="219" t="s">
        <v>184</v>
      </c>
      <c r="AI2" s="219" t="s">
        <v>185</v>
      </c>
      <c r="AJ2" s="219" t="s">
        <v>186</v>
      </c>
      <c r="AK2" s="219" t="s">
        <v>19</v>
      </c>
    </row>
    <row r="3" spans="1:37" ht="27" customHeight="1">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row>
    <row r="4" spans="1:37" ht="27" hidden="1" customHeight="1">
      <c r="A4" s="1">
        <v>1</v>
      </c>
      <c r="B4" s="1"/>
      <c r="C4" s="1"/>
      <c r="D4" s="1"/>
      <c r="E4" s="13" t="s">
        <v>187</v>
      </c>
      <c r="F4" s="38" t="s">
        <v>188</v>
      </c>
      <c r="G4" s="1"/>
      <c r="H4" s="37">
        <v>1</v>
      </c>
      <c r="I4" s="5"/>
      <c r="J4" s="1"/>
      <c r="K4" s="5"/>
      <c r="L4" s="6"/>
      <c r="M4" s="5"/>
      <c r="N4" s="15">
        <v>44964</v>
      </c>
      <c r="O4" s="8">
        <v>0</v>
      </c>
      <c r="P4" s="9">
        <v>44964</v>
      </c>
      <c r="Q4" s="8">
        <v>0</v>
      </c>
      <c r="R4" s="9">
        <v>44964</v>
      </c>
      <c r="S4" s="8">
        <v>0</v>
      </c>
      <c r="T4" s="9">
        <v>44964</v>
      </c>
      <c r="U4" s="8">
        <v>0</v>
      </c>
      <c r="V4" s="9">
        <v>44964</v>
      </c>
      <c r="W4" s="8">
        <v>0</v>
      </c>
      <c r="X4" s="9">
        <v>44964</v>
      </c>
      <c r="Y4" s="8">
        <v>0</v>
      </c>
      <c r="Z4" s="9">
        <v>44964</v>
      </c>
      <c r="AA4" s="8">
        <v>0</v>
      </c>
      <c r="AB4" s="9">
        <v>44964</v>
      </c>
      <c r="AC4" s="8">
        <v>0</v>
      </c>
      <c r="AD4" s="8">
        <v>0</v>
      </c>
      <c r="AE4" s="8">
        <v>0</v>
      </c>
      <c r="AF4" s="9">
        <v>44964</v>
      </c>
      <c r="AG4" s="10" t="s">
        <v>189</v>
      </c>
      <c r="AH4" s="9">
        <v>44964</v>
      </c>
      <c r="AI4" s="10" t="s">
        <v>189</v>
      </c>
      <c r="AJ4" s="9">
        <v>44964</v>
      </c>
      <c r="AK4" s="5"/>
    </row>
    <row r="5" spans="1:37" ht="27" hidden="1" customHeight="1">
      <c r="A5" s="1">
        <v>2</v>
      </c>
      <c r="B5" s="1"/>
      <c r="C5" s="1"/>
      <c r="D5" s="1"/>
      <c r="E5" s="13" t="s">
        <v>190</v>
      </c>
      <c r="F5" s="38" t="s">
        <v>191</v>
      </c>
      <c r="G5" s="1"/>
      <c r="H5" s="37">
        <v>1</v>
      </c>
      <c r="I5" s="5"/>
      <c r="J5" s="1"/>
      <c r="K5" s="5"/>
      <c r="L5" s="6"/>
      <c r="M5" s="5"/>
      <c r="N5" s="15">
        <v>44964</v>
      </c>
      <c r="O5" s="8">
        <v>0</v>
      </c>
      <c r="P5" s="9">
        <v>44964</v>
      </c>
      <c r="Q5" s="8">
        <v>0</v>
      </c>
      <c r="R5" s="9">
        <v>44964</v>
      </c>
      <c r="S5" s="8">
        <v>0</v>
      </c>
      <c r="T5" s="9">
        <v>44964</v>
      </c>
      <c r="U5" s="8">
        <v>0</v>
      </c>
      <c r="V5" s="9">
        <v>44964</v>
      </c>
      <c r="W5" s="8">
        <v>0</v>
      </c>
      <c r="X5" s="9">
        <v>44964</v>
      </c>
      <c r="Y5" s="8">
        <v>0</v>
      </c>
      <c r="Z5" s="9">
        <v>44964</v>
      </c>
      <c r="AA5" s="8">
        <v>0</v>
      </c>
      <c r="AB5" s="9">
        <v>44964</v>
      </c>
      <c r="AC5" s="8">
        <v>0</v>
      </c>
      <c r="AD5" s="8">
        <v>0</v>
      </c>
      <c r="AE5" s="8">
        <v>0</v>
      </c>
      <c r="AF5" s="9">
        <v>44964</v>
      </c>
      <c r="AG5" s="10" t="s">
        <v>189</v>
      </c>
      <c r="AH5" s="9">
        <v>44964</v>
      </c>
      <c r="AI5" s="10" t="s">
        <v>189</v>
      </c>
      <c r="AJ5" s="9">
        <v>44964</v>
      </c>
      <c r="AK5" s="5"/>
    </row>
    <row r="6" spans="1:37" ht="27" hidden="1" customHeight="1">
      <c r="A6" s="1">
        <v>3</v>
      </c>
      <c r="B6" s="1"/>
      <c r="C6" s="1"/>
      <c r="D6" s="1"/>
      <c r="E6" s="13" t="s">
        <v>192</v>
      </c>
      <c r="F6" s="38" t="s">
        <v>193</v>
      </c>
      <c r="G6" s="1"/>
      <c r="H6" s="37">
        <v>1</v>
      </c>
      <c r="I6" s="5"/>
      <c r="J6" s="1"/>
      <c r="K6" s="5"/>
      <c r="L6" s="6"/>
      <c r="M6" s="5"/>
      <c r="N6" s="15">
        <v>44964</v>
      </c>
      <c r="O6" s="8">
        <v>0</v>
      </c>
      <c r="P6" s="9">
        <v>44964</v>
      </c>
      <c r="Q6" s="8">
        <v>0</v>
      </c>
      <c r="R6" s="9">
        <v>44964</v>
      </c>
      <c r="S6" s="8">
        <v>0</v>
      </c>
      <c r="T6" s="9">
        <v>44964</v>
      </c>
      <c r="U6" s="8">
        <v>0</v>
      </c>
      <c r="V6" s="9">
        <v>44964</v>
      </c>
      <c r="W6" s="8">
        <v>0</v>
      </c>
      <c r="X6" s="9">
        <v>44964</v>
      </c>
      <c r="Y6" s="8">
        <v>0</v>
      </c>
      <c r="Z6" s="9">
        <v>44964</v>
      </c>
      <c r="AA6" s="8">
        <v>0</v>
      </c>
      <c r="AB6" s="9">
        <v>44964</v>
      </c>
      <c r="AC6" s="8">
        <v>0</v>
      </c>
      <c r="AD6" s="8">
        <v>0</v>
      </c>
      <c r="AE6" s="8">
        <v>0</v>
      </c>
      <c r="AF6" s="9">
        <v>44964</v>
      </c>
      <c r="AG6" s="10" t="s">
        <v>189</v>
      </c>
      <c r="AH6" s="9">
        <v>44964</v>
      </c>
      <c r="AI6" s="10" t="s">
        <v>189</v>
      </c>
      <c r="AJ6" s="9">
        <v>44964</v>
      </c>
      <c r="AK6" s="5"/>
    </row>
    <row r="7" spans="1:37" ht="27" hidden="1" customHeight="1">
      <c r="A7" s="1">
        <v>4</v>
      </c>
      <c r="B7" s="5"/>
      <c r="C7" s="5"/>
      <c r="D7" s="5"/>
      <c r="E7" s="13" t="s">
        <v>194</v>
      </c>
      <c r="F7" s="38" t="s">
        <v>195</v>
      </c>
      <c r="G7" s="1"/>
      <c r="H7" s="14">
        <v>1</v>
      </c>
      <c r="I7" s="5"/>
      <c r="J7" s="1"/>
      <c r="K7" s="5"/>
      <c r="L7" s="6"/>
      <c r="M7" s="5"/>
      <c r="N7" s="15">
        <v>44964</v>
      </c>
      <c r="O7" s="8">
        <v>0</v>
      </c>
      <c r="P7" s="9">
        <v>44964</v>
      </c>
      <c r="Q7" s="8">
        <v>0</v>
      </c>
      <c r="R7" s="9">
        <v>44964</v>
      </c>
      <c r="S7" s="8">
        <v>0</v>
      </c>
      <c r="T7" s="9">
        <v>44964</v>
      </c>
      <c r="U7" s="8">
        <v>0</v>
      </c>
      <c r="V7" s="9">
        <v>44964</v>
      </c>
      <c r="W7" s="8">
        <v>0</v>
      </c>
      <c r="X7" s="9">
        <v>44964</v>
      </c>
      <c r="Y7" s="8">
        <v>0</v>
      </c>
      <c r="Z7" s="9">
        <v>44964</v>
      </c>
      <c r="AA7" s="8">
        <v>0</v>
      </c>
      <c r="AB7" s="9">
        <v>44964</v>
      </c>
      <c r="AC7" s="8">
        <v>0</v>
      </c>
      <c r="AD7" s="8">
        <v>0</v>
      </c>
      <c r="AE7" s="8">
        <v>0</v>
      </c>
      <c r="AF7" s="9">
        <v>44964</v>
      </c>
      <c r="AG7" s="10" t="s">
        <v>189</v>
      </c>
      <c r="AH7" s="9">
        <v>44964</v>
      </c>
      <c r="AI7" s="10" t="s">
        <v>189</v>
      </c>
      <c r="AJ7" s="9">
        <v>44964</v>
      </c>
      <c r="AK7" s="5"/>
    </row>
    <row r="8" spans="1:37" ht="27" hidden="1" customHeight="1">
      <c r="A8" s="1">
        <v>5</v>
      </c>
      <c r="B8" s="5"/>
      <c r="C8" s="5"/>
      <c r="D8" s="5"/>
      <c r="E8" s="13" t="s">
        <v>196</v>
      </c>
      <c r="F8" s="39" t="s">
        <v>197</v>
      </c>
      <c r="G8" s="1"/>
      <c r="H8" s="14">
        <v>2</v>
      </c>
      <c r="I8" s="5"/>
      <c r="J8" s="1" t="s">
        <v>198</v>
      </c>
      <c r="K8" s="5"/>
      <c r="L8" s="6"/>
      <c r="M8" s="5"/>
      <c r="N8" s="15">
        <v>44996</v>
      </c>
      <c r="O8" s="8">
        <v>1</v>
      </c>
      <c r="P8" s="9">
        <v>44964</v>
      </c>
      <c r="Q8" s="8">
        <v>0</v>
      </c>
      <c r="R8" s="9">
        <v>44964</v>
      </c>
      <c r="S8" s="8">
        <v>0</v>
      </c>
      <c r="T8" s="9">
        <v>44964</v>
      </c>
      <c r="U8" s="8">
        <v>0</v>
      </c>
      <c r="V8" s="9">
        <v>44964</v>
      </c>
      <c r="W8" s="8">
        <v>0</v>
      </c>
      <c r="X8" s="9">
        <v>44964</v>
      </c>
      <c r="Y8" s="8">
        <v>0</v>
      </c>
      <c r="Z8" s="9">
        <v>44964</v>
      </c>
      <c r="AA8" s="8">
        <v>0</v>
      </c>
      <c r="AB8" s="9">
        <v>44964</v>
      </c>
      <c r="AC8" s="8">
        <v>0</v>
      </c>
      <c r="AD8" s="8">
        <v>0</v>
      </c>
      <c r="AE8" s="8">
        <v>0</v>
      </c>
      <c r="AF8" s="9">
        <v>44964</v>
      </c>
      <c r="AG8" s="10" t="s">
        <v>189</v>
      </c>
      <c r="AH8" s="9">
        <v>44964</v>
      </c>
      <c r="AI8" s="10" t="s">
        <v>189</v>
      </c>
      <c r="AJ8" s="9">
        <v>44964</v>
      </c>
      <c r="AK8" s="5"/>
    </row>
    <row r="9" spans="1:37" ht="27" hidden="1" customHeight="1">
      <c r="A9" s="1">
        <v>6</v>
      </c>
      <c r="B9" s="5"/>
      <c r="C9" s="5"/>
      <c r="D9" s="5"/>
      <c r="E9" s="13" t="s">
        <v>199</v>
      </c>
      <c r="F9" s="38" t="s">
        <v>200</v>
      </c>
      <c r="G9" s="1"/>
      <c r="H9" s="14">
        <v>1</v>
      </c>
      <c r="I9" s="5"/>
      <c r="J9" s="1"/>
      <c r="K9" s="5"/>
      <c r="L9" s="6"/>
      <c r="M9" s="5"/>
      <c r="N9" s="15">
        <v>44964</v>
      </c>
      <c r="O9" s="8">
        <v>0</v>
      </c>
      <c r="P9" s="9">
        <v>44964</v>
      </c>
      <c r="Q9" s="8">
        <v>0</v>
      </c>
      <c r="R9" s="9">
        <v>44964</v>
      </c>
      <c r="S9" s="8">
        <v>0</v>
      </c>
      <c r="T9" s="9">
        <v>44964</v>
      </c>
      <c r="U9" s="8">
        <v>0</v>
      </c>
      <c r="V9" s="9">
        <v>44964</v>
      </c>
      <c r="W9" s="8">
        <v>0</v>
      </c>
      <c r="X9" s="9">
        <v>44964</v>
      </c>
      <c r="Y9" s="8">
        <v>0</v>
      </c>
      <c r="Z9" s="9">
        <v>44964</v>
      </c>
      <c r="AA9" s="8">
        <v>0</v>
      </c>
      <c r="AB9" s="9">
        <v>44964</v>
      </c>
      <c r="AC9" s="8">
        <v>0</v>
      </c>
      <c r="AD9" s="8">
        <v>0</v>
      </c>
      <c r="AE9" s="8">
        <v>0</v>
      </c>
      <c r="AF9" s="9">
        <v>44964</v>
      </c>
      <c r="AG9" s="10" t="s">
        <v>189</v>
      </c>
      <c r="AH9" s="9">
        <v>44964</v>
      </c>
      <c r="AI9" s="10" t="s">
        <v>189</v>
      </c>
      <c r="AJ9" s="9">
        <v>44964</v>
      </c>
      <c r="AK9" s="5"/>
    </row>
    <row r="10" spans="1:37" ht="27" customHeight="1">
      <c r="A10" s="1">
        <v>7</v>
      </c>
      <c r="B10" s="5"/>
      <c r="C10" s="5"/>
      <c r="D10" s="5"/>
      <c r="E10" s="13" t="s">
        <v>201</v>
      </c>
      <c r="F10" s="38" t="s">
        <v>202</v>
      </c>
      <c r="G10" s="1"/>
      <c r="H10" s="14">
        <v>1</v>
      </c>
      <c r="I10" s="5"/>
      <c r="J10" s="1" t="s">
        <v>31</v>
      </c>
      <c r="K10" s="5"/>
      <c r="L10" s="6"/>
      <c r="M10" s="5"/>
      <c r="N10" s="15">
        <v>44964</v>
      </c>
      <c r="O10" s="8">
        <v>1</v>
      </c>
      <c r="P10" s="9">
        <v>44964</v>
      </c>
      <c r="Q10" s="8">
        <v>0</v>
      </c>
      <c r="R10" s="9">
        <v>44964</v>
      </c>
      <c r="S10" s="8">
        <v>0</v>
      </c>
      <c r="T10" s="9">
        <v>44964</v>
      </c>
      <c r="U10" s="8">
        <v>0</v>
      </c>
      <c r="V10" s="9">
        <v>44964</v>
      </c>
      <c r="W10" s="8">
        <v>0</v>
      </c>
      <c r="X10" s="9">
        <v>44964</v>
      </c>
      <c r="Y10" s="8">
        <v>0</v>
      </c>
      <c r="Z10" s="9">
        <v>44964</v>
      </c>
      <c r="AA10" s="8">
        <v>0</v>
      </c>
      <c r="AB10" s="9">
        <v>44964</v>
      </c>
      <c r="AC10" s="8">
        <v>0</v>
      </c>
      <c r="AD10" s="8">
        <v>0</v>
      </c>
      <c r="AE10" s="8">
        <v>0</v>
      </c>
      <c r="AF10" s="9">
        <v>44964</v>
      </c>
      <c r="AG10" s="10" t="s">
        <v>189</v>
      </c>
      <c r="AH10" s="9">
        <v>44964</v>
      </c>
      <c r="AI10" s="10" t="s">
        <v>189</v>
      </c>
      <c r="AJ10" s="9">
        <v>44964</v>
      </c>
      <c r="AK10" s="5"/>
    </row>
    <row r="11" spans="1:37" ht="27" hidden="1" customHeight="1">
      <c r="A11" s="1">
        <v>8</v>
      </c>
      <c r="B11" s="5"/>
      <c r="C11" s="5"/>
      <c r="D11" s="5"/>
      <c r="E11" s="13" t="s">
        <v>203</v>
      </c>
      <c r="F11" s="38" t="s">
        <v>204</v>
      </c>
      <c r="G11" s="1"/>
      <c r="H11" s="14">
        <v>1</v>
      </c>
      <c r="I11" s="5"/>
      <c r="J11" s="1"/>
      <c r="K11" s="5"/>
      <c r="L11" s="6"/>
      <c r="M11" s="5"/>
      <c r="N11" s="15">
        <v>44964</v>
      </c>
      <c r="O11" s="8">
        <v>0</v>
      </c>
      <c r="P11" s="9">
        <v>44964</v>
      </c>
      <c r="Q11" s="8">
        <v>0</v>
      </c>
      <c r="R11" s="9">
        <v>44964</v>
      </c>
      <c r="S11" s="8">
        <v>0</v>
      </c>
      <c r="T11" s="9">
        <v>44964</v>
      </c>
      <c r="U11" s="8">
        <v>0</v>
      </c>
      <c r="V11" s="9">
        <v>44964</v>
      </c>
      <c r="W11" s="8">
        <v>0</v>
      </c>
      <c r="X11" s="9">
        <v>44964</v>
      </c>
      <c r="Y11" s="8">
        <v>0</v>
      </c>
      <c r="Z11" s="9">
        <v>44964</v>
      </c>
      <c r="AA11" s="8">
        <v>0</v>
      </c>
      <c r="AB11" s="9">
        <v>44964</v>
      </c>
      <c r="AC11" s="8">
        <v>0</v>
      </c>
      <c r="AD11" s="8">
        <v>0</v>
      </c>
      <c r="AE11" s="8">
        <v>0</v>
      </c>
      <c r="AF11" s="9">
        <v>44964</v>
      </c>
      <c r="AG11" s="10" t="s">
        <v>189</v>
      </c>
      <c r="AH11" s="9">
        <v>44964</v>
      </c>
      <c r="AI11" s="10" t="s">
        <v>189</v>
      </c>
      <c r="AJ11" s="9">
        <v>44964</v>
      </c>
      <c r="AK11" s="5"/>
    </row>
    <row r="12" spans="1:37" ht="27" hidden="1" customHeight="1">
      <c r="A12" s="1">
        <v>9</v>
      </c>
      <c r="B12" s="5"/>
      <c r="C12" s="5"/>
      <c r="D12" s="5"/>
      <c r="E12" s="13"/>
      <c r="F12" s="38" t="s">
        <v>205</v>
      </c>
      <c r="G12" s="1"/>
      <c r="H12" s="14">
        <v>1</v>
      </c>
      <c r="I12" s="5"/>
      <c r="J12" s="1"/>
      <c r="K12" s="5"/>
      <c r="L12" s="6"/>
      <c r="M12" s="5"/>
      <c r="N12" s="15">
        <v>44964</v>
      </c>
      <c r="O12" s="8">
        <v>0</v>
      </c>
      <c r="P12" s="9">
        <v>44964</v>
      </c>
      <c r="Q12" s="8">
        <v>0</v>
      </c>
      <c r="R12" s="9">
        <v>44964</v>
      </c>
      <c r="S12" s="8">
        <v>0</v>
      </c>
      <c r="T12" s="9">
        <v>44964</v>
      </c>
      <c r="U12" s="8">
        <v>0</v>
      </c>
      <c r="V12" s="9">
        <v>44964</v>
      </c>
      <c r="W12" s="8">
        <v>0</v>
      </c>
      <c r="X12" s="9">
        <v>44964</v>
      </c>
      <c r="Y12" s="8">
        <v>0</v>
      </c>
      <c r="Z12" s="9">
        <v>44964</v>
      </c>
      <c r="AA12" s="8">
        <v>0</v>
      </c>
      <c r="AB12" s="9">
        <v>44964</v>
      </c>
      <c r="AC12" s="8">
        <v>0</v>
      </c>
      <c r="AD12" s="8">
        <v>0</v>
      </c>
      <c r="AE12" s="8">
        <v>0</v>
      </c>
      <c r="AF12" s="9">
        <v>44964</v>
      </c>
      <c r="AG12" s="10" t="s">
        <v>189</v>
      </c>
      <c r="AH12" s="9">
        <v>44964</v>
      </c>
      <c r="AI12" s="10" t="s">
        <v>189</v>
      </c>
      <c r="AJ12" s="9">
        <v>44964</v>
      </c>
      <c r="AK12" s="5"/>
    </row>
    <row r="13" spans="1:37" ht="27" hidden="1" customHeight="1">
      <c r="A13" s="1">
        <v>10</v>
      </c>
      <c r="B13" s="5"/>
      <c r="C13" s="5"/>
      <c r="D13" s="5"/>
      <c r="E13" s="13" t="s">
        <v>206</v>
      </c>
      <c r="F13" s="38" t="s">
        <v>207</v>
      </c>
      <c r="G13" s="1"/>
      <c r="H13" s="14">
        <v>1</v>
      </c>
      <c r="I13" s="5"/>
      <c r="J13" s="1"/>
      <c r="K13" s="5"/>
      <c r="L13" s="6"/>
      <c r="M13" s="5"/>
      <c r="N13" s="15">
        <v>44964</v>
      </c>
      <c r="O13" s="8">
        <v>0</v>
      </c>
      <c r="P13" s="9">
        <v>44964</v>
      </c>
      <c r="Q13" s="8">
        <v>0</v>
      </c>
      <c r="R13" s="9">
        <v>44964</v>
      </c>
      <c r="S13" s="8">
        <v>0</v>
      </c>
      <c r="T13" s="9">
        <v>44964</v>
      </c>
      <c r="U13" s="8">
        <v>0</v>
      </c>
      <c r="V13" s="9">
        <v>44964</v>
      </c>
      <c r="W13" s="8">
        <v>0</v>
      </c>
      <c r="X13" s="9">
        <v>44964</v>
      </c>
      <c r="Y13" s="8">
        <v>0</v>
      </c>
      <c r="Z13" s="9">
        <v>44964</v>
      </c>
      <c r="AA13" s="8">
        <v>0</v>
      </c>
      <c r="AB13" s="9">
        <v>44964</v>
      </c>
      <c r="AC13" s="8">
        <v>0</v>
      </c>
      <c r="AD13" s="8">
        <v>0</v>
      </c>
      <c r="AE13" s="8">
        <v>0</v>
      </c>
      <c r="AF13" s="9">
        <v>44964</v>
      </c>
      <c r="AG13" s="10" t="s">
        <v>189</v>
      </c>
      <c r="AH13" s="9">
        <v>44964</v>
      </c>
      <c r="AI13" s="10" t="s">
        <v>189</v>
      </c>
      <c r="AJ13" s="9">
        <v>44964</v>
      </c>
      <c r="AK13" s="5"/>
    </row>
    <row r="14" spans="1:37" ht="27" hidden="1" customHeight="1">
      <c r="A14" s="1">
        <v>11</v>
      </c>
      <c r="B14" s="5"/>
      <c r="C14" s="5"/>
      <c r="D14" s="5"/>
      <c r="E14" s="13"/>
      <c r="F14" s="38" t="s">
        <v>208</v>
      </c>
      <c r="G14" s="1"/>
      <c r="H14" s="14">
        <v>3</v>
      </c>
      <c r="I14" s="5"/>
      <c r="J14" s="1"/>
      <c r="K14" s="5"/>
      <c r="L14" s="6"/>
      <c r="M14" s="5"/>
      <c r="N14" s="15">
        <v>44964</v>
      </c>
      <c r="O14" s="8">
        <v>0</v>
      </c>
      <c r="P14" s="9">
        <v>44964</v>
      </c>
      <c r="Q14" s="8">
        <v>0</v>
      </c>
      <c r="R14" s="9">
        <v>44964</v>
      </c>
      <c r="S14" s="8">
        <v>0</v>
      </c>
      <c r="T14" s="9">
        <v>44964</v>
      </c>
      <c r="U14" s="8">
        <v>0</v>
      </c>
      <c r="V14" s="9">
        <v>44964</v>
      </c>
      <c r="W14" s="8">
        <v>0</v>
      </c>
      <c r="X14" s="9">
        <v>44964</v>
      </c>
      <c r="Y14" s="8">
        <v>0</v>
      </c>
      <c r="Z14" s="9">
        <v>44964</v>
      </c>
      <c r="AA14" s="8">
        <v>0</v>
      </c>
      <c r="AB14" s="9">
        <v>44964</v>
      </c>
      <c r="AC14" s="8">
        <v>0</v>
      </c>
      <c r="AD14" s="8">
        <v>0</v>
      </c>
      <c r="AE14" s="8">
        <v>0</v>
      </c>
      <c r="AF14" s="9">
        <v>44964</v>
      </c>
      <c r="AG14" s="10" t="s">
        <v>189</v>
      </c>
      <c r="AH14" s="9">
        <v>44964</v>
      </c>
      <c r="AI14" s="10" t="s">
        <v>189</v>
      </c>
      <c r="AJ14" s="9">
        <v>44964</v>
      </c>
      <c r="AK14" s="5"/>
    </row>
    <row r="15" spans="1:37" ht="27" customHeight="1">
      <c r="A15" s="1">
        <v>12</v>
      </c>
      <c r="B15" s="5"/>
      <c r="C15" s="5"/>
      <c r="D15" s="5"/>
      <c r="E15" s="13" t="s">
        <v>209</v>
      </c>
      <c r="F15" s="38" t="s">
        <v>202</v>
      </c>
      <c r="G15" s="1"/>
      <c r="H15" s="14">
        <v>1</v>
      </c>
      <c r="I15" s="5"/>
      <c r="J15" s="1" t="s">
        <v>31</v>
      </c>
      <c r="K15" s="5"/>
      <c r="L15" s="6"/>
      <c r="M15" s="5"/>
      <c r="N15" s="15">
        <v>44964</v>
      </c>
      <c r="O15" s="8">
        <v>1</v>
      </c>
      <c r="P15" s="9">
        <v>44964</v>
      </c>
      <c r="Q15" s="8">
        <v>0</v>
      </c>
      <c r="R15" s="9">
        <v>44964</v>
      </c>
      <c r="S15" s="8">
        <v>0</v>
      </c>
      <c r="T15" s="9">
        <v>44964</v>
      </c>
      <c r="U15" s="8">
        <v>0</v>
      </c>
      <c r="V15" s="9">
        <v>44964</v>
      </c>
      <c r="W15" s="8">
        <v>0</v>
      </c>
      <c r="X15" s="9">
        <v>44964</v>
      </c>
      <c r="Y15" s="8">
        <v>0</v>
      </c>
      <c r="Z15" s="9">
        <v>44964</v>
      </c>
      <c r="AA15" s="8">
        <v>0</v>
      </c>
      <c r="AB15" s="9">
        <v>44964</v>
      </c>
      <c r="AC15" s="8">
        <v>0</v>
      </c>
      <c r="AD15" s="8">
        <v>0</v>
      </c>
      <c r="AE15" s="8">
        <v>0</v>
      </c>
      <c r="AF15" s="9">
        <v>44964</v>
      </c>
      <c r="AG15" s="10" t="s">
        <v>189</v>
      </c>
      <c r="AH15" s="9">
        <v>44964</v>
      </c>
      <c r="AI15" s="10" t="s">
        <v>189</v>
      </c>
      <c r="AJ15" s="9">
        <v>44964</v>
      </c>
      <c r="AK15" s="5"/>
    </row>
    <row r="16" spans="1:37" ht="27" customHeight="1">
      <c r="A16" s="1">
        <v>13</v>
      </c>
      <c r="B16" s="5"/>
      <c r="C16" s="5"/>
      <c r="D16" s="5"/>
      <c r="E16" s="13" t="s">
        <v>210</v>
      </c>
      <c r="F16" s="38" t="s">
        <v>211</v>
      </c>
      <c r="G16" s="1"/>
      <c r="H16" s="14">
        <v>1</v>
      </c>
      <c r="I16" s="5"/>
      <c r="J16" s="1" t="s">
        <v>30</v>
      </c>
      <c r="K16" s="5"/>
      <c r="L16" s="6"/>
      <c r="M16" s="5"/>
      <c r="N16" s="15">
        <v>44964</v>
      </c>
      <c r="O16" s="8">
        <v>1</v>
      </c>
      <c r="P16" s="9">
        <v>44964</v>
      </c>
      <c r="Q16" s="8">
        <v>0</v>
      </c>
      <c r="R16" s="9">
        <v>44964</v>
      </c>
      <c r="S16" s="8">
        <v>0</v>
      </c>
      <c r="T16" s="9">
        <v>44964</v>
      </c>
      <c r="U16" s="8">
        <v>0</v>
      </c>
      <c r="V16" s="9">
        <v>44964</v>
      </c>
      <c r="W16" s="8">
        <v>0</v>
      </c>
      <c r="X16" s="9">
        <v>44964</v>
      </c>
      <c r="Y16" s="8">
        <v>0</v>
      </c>
      <c r="Z16" s="9">
        <v>44964</v>
      </c>
      <c r="AA16" s="8">
        <v>0</v>
      </c>
      <c r="AB16" s="9">
        <v>44964</v>
      </c>
      <c r="AC16" s="8">
        <v>0</v>
      </c>
      <c r="AD16" s="8">
        <v>0</v>
      </c>
      <c r="AE16" s="8">
        <v>0</v>
      </c>
      <c r="AF16" s="9">
        <v>44964</v>
      </c>
      <c r="AG16" s="10" t="s">
        <v>189</v>
      </c>
      <c r="AH16" s="9">
        <v>44964</v>
      </c>
      <c r="AI16" s="10" t="s">
        <v>189</v>
      </c>
      <c r="AJ16" s="9">
        <v>44964</v>
      </c>
      <c r="AK16" s="5"/>
    </row>
    <row r="17" spans="1:37" ht="27" hidden="1" customHeight="1">
      <c r="A17" s="1">
        <v>14</v>
      </c>
      <c r="B17" s="5"/>
      <c r="C17" s="5"/>
      <c r="D17" s="5"/>
      <c r="E17" s="13" t="s">
        <v>212</v>
      </c>
      <c r="F17" s="39" t="s">
        <v>213</v>
      </c>
      <c r="G17" s="1"/>
      <c r="H17" s="14">
        <v>1</v>
      </c>
      <c r="I17" s="5"/>
      <c r="J17" s="1"/>
      <c r="K17" s="5"/>
      <c r="L17" s="6"/>
      <c r="M17" s="5"/>
      <c r="N17" s="15">
        <v>44964</v>
      </c>
      <c r="O17" s="8">
        <v>0</v>
      </c>
      <c r="P17" s="9">
        <v>44964</v>
      </c>
      <c r="Q17" s="8">
        <v>0</v>
      </c>
      <c r="R17" s="9">
        <v>44964</v>
      </c>
      <c r="S17" s="8">
        <v>0</v>
      </c>
      <c r="T17" s="9">
        <v>44964</v>
      </c>
      <c r="U17" s="8">
        <v>0</v>
      </c>
      <c r="V17" s="9">
        <v>44964</v>
      </c>
      <c r="W17" s="8">
        <v>0</v>
      </c>
      <c r="X17" s="9">
        <v>44964</v>
      </c>
      <c r="Y17" s="8">
        <v>0</v>
      </c>
      <c r="Z17" s="9">
        <v>44964</v>
      </c>
      <c r="AA17" s="8">
        <v>0</v>
      </c>
      <c r="AB17" s="9">
        <v>44964</v>
      </c>
      <c r="AC17" s="8">
        <v>0</v>
      </c>
      <c r="AD17" s="8">
        <v>0</v>
      </c>
      <c r="AE17" s="8">
        <v>0</v>
      </c>
      <c r="AF17" s="9">
        <v>44964</v>
      </c>
      <c r="AG17" s="10" t="s">
        <v>189</v>
      </c>
      <c r="AH17" s="9">
        <v>44964</v>
      </c>
      <c r="AI17" s="10" t="s">
        <v>189</v>
      </c>
      <c r="AJ17" s="9">
        <v>44964</v>
      </c>
      <c r="AK17" s="5"/>
    </row>
    <row r="18" spans="1:37" ht="27" hidden="1" customHeight="1">
      <c r="A18" s="1">
        <v>15</v>
      </c>
      <c r="B18" s="5"/>
      <c r="C18" s="5"/>
      <c r="D18" s="5"/>
      <c r="E18" s="13" t="s">
        <v>214</v>
      </c>
      <c r="F18" s="38" t="s">
        <v>200</v>
      </c>
      <c r="G18" s="1"/>
      <c r="H18" s="14">
        <v>1</v>
      </c>
      <c r="I18" s="5"/>
      <c r="J18" s="1"/>
      <c r="K18" s="5"/>
      <c r="L18" s="6"/>
      <c r="M18" s="5"/>
      <c r="N18" s="15">
        <v>44964</v>
      </c>
      <c r="O18" s="8">
        <v>0</v>
      </c>
      <c r="P18" s="9">
        <v>44964</v>
      </c>
      <c r="Q18" s="8">
        <v>0</v>
      </c>
      <c r="R18" s="9">
        <v>44964</v>
      </c>
      <c r="S18" s="8">
        <v>0</v>
      </c>
      <c r="T18" s="9">
        <v>44964</v>
      </c>
      <c r="U18" s="8">
        <v>0</v>
      </c>
      <c r="V18" s="9">
        <v>44964</v>
      </c>
      <c r="W18" s="8">
        <v>0</v>
      </c>
      <c r="X18" s="9">
        <v>44964</v>
      </c>
      <c r="Y18" s="8">
        <v>0</v>
      </c>
      <c r="Z18" s="9">
        <v>44964</v>
      </c>
      <c r="AA18" s="8">
        <v>0</v>
      </c>
      <c r="AB18" s="9">
        <v>44964</v>
      </c>
      <c r="AC18" s="8">
        <v>0</v>
      </c>
      <c r="AD18" s="8">
        <v>0</v>
      </c>
      <c r="AE18" s="8">
        <v>0</v>
      </c>
      <c r="AF18" s="9">
        <v>44964</v>
      </c>
      <c r="AG18" s="10" t="s">
        <v>189</v>
      </c>
      <c r="AH18" s="9">
        <v>44964</v>
      </c>
      <c r="AI18" s="10" t="s">
        <v>189</v>
      </c>
      <c r="AJ18" s="9">
        <v>44964</v>
      </c>
      <c r="AK18" s="5"/>
    </row>
    <row r="19" spans="1:37" ht="27" hidden="1" customHeight="1">
      <c r="A19" s="1">
        <v>16</v>
      </c>
      <c r="B19" s="5"/>
      <c r="C19" s="5"/>
      <c r="D19" s="5"/>
      <c r="E19" s="38" t="s">
        <v>215</v>
      </c>
      <c r="F19" s="38" t="s">
        <v>216</v>
      </c>
      <c r="G19" s="1"/>
      <c r="H19" s="14">
        <v>1</v>
      </c>
      <c r="I19" s="5"/>
      <c r="J19" s="1"/>
      <c r="K19" s="5"/>
      <c r="L19" s="6"/>
      <c r="M19" s="5"/>
      <c r="N19" s="15">
        <v>44964</v>
      </c>
      <c r="O19" s="8">
        <v>0</v>
      </c>
      <c r="P19" s="9">
        <v>44964</v>
      </c>
      <c r="Q19" s="8">
        <v>0</v>
      </c>
      <c r="R19" s="9">
        <v>44964</v>
      </c>
      <c r="S19" s="8">
        <v>0</v>
      </c>
      <c r="T19" s="9">
        <v>44964</v>
      </c>
      <c r="U19" s="8">
        <v>0</v>
      </c>
      <c r="V19" s="9">
        <v>44964</v>
      </c>
      <c r="W19" s="8">
        <v>0</v>
      </c>
      <c r="X19" s="9">
        <v>44964</v>
      </c>
      <c r="Y19" s="8">
        <v>0</v>
      </c>
      <c r="Z19" s="9">
        <v>44964</v>
      </c>
      <c r="AA19" s="8">
        <v>0</v>
      </c>
      <c r="AB19" s="9">
        <v>44964</v>
      </c>
      <c r="AC19" s="8">
        <v>0</v>
      </c>
      <c r="AD19" s="8">
        <v>0</v>
      </c>
      <c r="AE19" s="8">
        <v>0</v>
      </c>
      <c r="AF19" s="9">
        <v>44964</v>
      </c>
      <c r="AG19" s="10" t="s">
        <v>189</v>
      </c>
      <c r="AH19" s="9">
        <v>44964</v>
      </c>
      <c r="AI19" s="10" t="s">
        <v>189</v>
      </c>
      <c r="AJ19" s="9">
        <v>44964</v>
      </c>
      <c r="AK19" s="5"/>
    </row>
    <row r="20" spans="1:37" ht="27" hidden="1" customHeight="1">
      <c r="A20" s="1">
        <v>17</v>
      </c>
      <c r="B20" s="5"/>
      <c r="C20" s="5"/>
      <c r="D20" s="5"/>
      <c r="E20" s="13" t="s">
        <v>217</v>
      </c>
      <c r="F20" s="38" t="s">
        <v>197</v>
      </c>
      <c r="G20" s="1"/>
      <c r="H20" s="14">
        <v>1</v>
      </c>
      <c r="I20" s="5"/>
      <c r="J20" s="1" t="s">
        <v>198</v>
      </c>
      <c r="K20" s="5"/>
      <c r="L20" s="6"/>
      <c r="M20" s="5"/>
      <c r="N20" s="15">
        <v>44996</v>
      </c>
      <c r="O20" s="8">
        <v>1</v>
      </c>
      <c r="P20" s="9">
        <v>44964</v>
      </c>
      <c r="Q20" s="8">
        <v>0</v>
      </c>
      <c r="R20" s="9">
        <v>44964</v>
      </c>
      <c r="S20" s="8">
        <v>0</v>
      </c>
      <c r="T20" s="9">
        <v>44964</v>
      </c>
      <c r="U20" s="8">
        <v>0</v>
      </c>
      <c r="V20" s="9">
        <v>44964</v>
      </c>
      <c r="W20" s="8">
        <v>0</v>
      </c>
      <c r="X20" s="9">
        <v>44964</v>
      </c>
      <c r="Y20" s="8">
        <v>0</v>
      </c>
      <c r="Z20" s="9">
        <v>44964</v>
      </c>
      <c r="AA20" s="8">
        <v>0</v>
      </c>
      <c r="AB20" s="9">
        <v>44964</v>
      </c>
      <c r="AC20" s="8">
        <v>0</v>
      </c>
      <c r="AD20" s="8">
        <v>0</v>
      </c>
      <c r="AE20" s="8">
        <v>0</v>
      </c>
      <c r="AF20" s="9">
        <v>44964</v>
      </c>
      <c r="AG20" s="10" t="s">
        <v>189</v>
      </c>
      <c r="AH20" s="9">
        <v>44964</v>
      </c>
      <c r="AI20" s="10" t="s">
        <v>189</v>
      </c>
      <c r="AJ20" s="9">
        <v>44964</v>
      </c>
      <c r="AK20" s="5"/>
    </row>
    <row r="21" spans="1:37" ht="27" hidden="1" customHeight="1">
      <c r="A21" s="1">
        <v>18</v>
      </c>
      <c r="B21" s="5"/>
      <c r="C21" s="5"/>
      <c r="D21" s="5"/>
      <c r="E21" s="13" t="s">
        <v>218</v>
      </c>
      <c r="F21" s="38" t="s">
        <v>219</v>
      </c>
      <c r="G21" s="1"/>
      <c r="H21" s="14">
        <v>1</v>
      </c>
      <c r="I21" s="5"/>
      <c r="J21" s="1"/>
      <c r="K21" s="5"/>
      <c r="L21" s="6"/>
      <c r="M21" s="5"/>
      <c r="N21" s="15">
        <v>44964</v>
      </c>
      <c r="O21" s="8">
        <v>0</v>
      </c>
      <c r="P21" s="9">
        <v>44964</v>
      </c>
      <c r="Q21" s="8">
        <v>0</v>
      </c>
      <c r="R21" s="9">
        <v>44964</v>
      </c>
      <c r="S21" s="8">
        <v>0</v>
      </c>
      <c r="T21" s="9">
        <v>44964</v>
      </c>
      <c r="U21" s="8">
        <v>0</v>
      </c>
      <c r="V21" s="9">
        <v>44964</v>
      </c>
      <c r="W21" s="8">
        <v>0</v>
      </c>
      <c r="X21" s="9">
        <v>44964</v>
      </c>
      <c r="Y21" s="8">
        <v>0</v>
      </c>
      <c r="Z21" s="9">
        <v>44964</v>
      </c>
      <c r="AA21" s="8">
        <v>0</v>
      </c>
      <c r="AB21" s="9">
        <v>44964</v>
      </c>
      <c r="AC21" s="8">
        <v>0</v>
      </c>
      <c r="AD21" s="8">
        <v>0</v>
      </c>
      <c r="AE21" s="8">
        <v>0</v>
      </c>
      <c r="AF21" s="9">
        <v>44964</v>
      </c>
      <c r="AG21" s="10" t="s">
        <v>189</v>
      </c>
      <c r="AH21" s="9">
        <v>44964</v>
      </c>
      <c r="AI21" s="10" t="s">
        <v>189</v>
      </c>
      <c r="AJ21" s="9">
        <v>44964</v>
      </c>
      <c r="AK21" s="5"/>
    </row>
    <row r="22" spans="1:37" ht="27" customHeight="1">
      <c r="A22" s="1">
        <v>19</v>
      </c>
      <c r="B22" s="5"/>
      <c r="C22" s="5"/>
      <c r="D22" s="5"/>
      <c r="E22" s="38" t="s">
        <v>220</v>
      </c>
      <c r="F22" s="38" t="s">
        <v>221</v>
      </c>
      <c r="G22" s="1"/>
      <c r="H22" s="14">
        <v>1</v>
      </c>
      <c r="I22" s="5"/>
      <c r="J22" s="1" t="s">
        <v>31</v>
      </c>
      <c r="K22" s="5"/>
      <c r="L22" s="6"/>
      <c r="M22" s="5"/>
      <c r="N22" s="15">
        <v>44964</v>
      </c>
      <c r="O22" s="8">
        <v>1</v>
      </c>
      <c r="P22" s="9">
        <v>44964</v>
      </c>
      <c r="Q22" s="8">
        <v>0</v>
      </c>
      <c r="R22" s="9">
        <v>44964</v>
      </c>
      <c r="S22" s="8">
        <v>0</v>
      </c>
      <c r="T22" s="9">
        <v>44964</v>
      </c>
      <c r="U22" s="8">
        <v>0</v>
      </c>
      <c r="V22" s="9">
        <v>44964</v>
      </c>
      <c r="W22" s="8">
        <v>0</v>
      </c>
      <c r="X22" s="9">
        <v>44964</v>
      </c>
      <c r="Y22" s="8">
        <v>0</v>
      </c>
      <c r="Z22" s="9">
        <v>44964</v>
      </c>
      <c r="AA22" s="8">
        <v>0</v>
      </c>
      <c r="AB22" s="9">
        <v>44964</v>
      </c>
      <c r="AC22" s="8">
        <v>0</v>
      </c>
      <c r="AD22" s="8">
        <v>0</v>
      </c>
      <c r="AE22" s="8">
        <v>0</v>
      </c>
      <c r="AF22" s="9">
        <v>44964</v>
      </c>
      <c r="AG22" s="10" t="s">
        <v>189</v>
      </c>
      <c r="AH22" s="9">
        <v>44964</v>
      </c>
      <c r="AI22" s="10" t="s">
        <v>189</v>
      </c>
      <c r="AJ22" s="9">
        <v>44964</v>
      </c>
      <c r="AK22" s="5"/>
    </row>
    <row r="23" spans="1:37" ht="27" hidden="1" customHeight="1">
      <c r="A23" s="1">
        <v>20</v>
      </c>
      <c r="B23" s="5"/>
      <c r="C23" s="5"/>
      <c r="D23" s="5"/>
      <c r="E23" s="38"/>
      <c r="F23" s="38" t="s">
        <v>222</v>
      </c>
      <c r="G23" s="1"/>
      <c r="H23" s="14">
        <v>0</v>
      </c>
      <c r="I23" s="5"/>
      <c r="J23" s="1"/>
      <c r="K23" s="5"/>
      <c r="L23" s="6"/>
      <c r="M23" s="5"/>
      <c r="N23" s="15">
        <v>44964</v>
      </c>
      <c r="O23" s="8">
        <v>0</v>
      </c>
      <c r="P23" s="9">
        <v>44964</v>
      </c>
      <c r="Q23" s="8">
        <v>0</v>
      </c>
      <c r="R23" s="9">
        <v>44964</v>
      </c>
      <c r="S23" s="8">
        <v>0</v>
      </c>
      <c r="T23" s="9">
        <v>44964</v>
      </c>
      <c r="U23" s="8">
        <v>0</v>
      </c>
      <c r="V23" s="9">
        <v>44964</v>
      </c>
      <c r="W23" s="8">
        <v>0</v>
      </c>
      <c r="X23" s="9">
        <v>44964</v>
      </c>
      <c r="Y23" s="8">
        <v>0</v>
      </c>
      <c r="Z23" s="9">
        <v>44964</v>
      </c>
      <c r="AA23" s="8">
        <v>0</v>
      </c>
      <c r="AB23" s="9">
        <v>44964</v>
      </c>
      <c r="AC23" s="8">
        <v>0</v>
      </c>
      <c r="AD23" s="8">
        <v>0</v>
      </c>
      <c r="AE23" s="8">
        <v>0</v>
      </c>
      <c r="AF23" s="9">
        <v>44964</v>
      </c>
      <c r="AG23" s="10" t="s">
        <v>189</v>
      </c>
      <c r="AH23" s="9">
        <v>44964</v>
      </c>
      <c r="AI23" s="10" t="s">
        <v>189</v>
      </c>
      <c r="AJ23" s="9">
        <v>44964</v>
      </c>
      <c r="AK23" s="5"/>
    </row>
    <row r="24" spans="1:37" ht="27" hidden="1" customHeight="1">
      <c r="A24" s="1">
        <v>21</v>
      </c>
      <c r="B24" s="5"/>
      <c r="C24" s="5"/>
      <c r="D24" s="5"/>
      <c r="E24" s="38" t="s">
        <v>223</v>
      </c>
      <c r="F24" s="38" t="s">
        <v>224</v>
      </c>
      <c r="G24" s="1"/>
      <c r="H24" s="14">
        <v>1</v>
      </c>
      <c r="I24" s="5"/>
      <c r="J24" s="1"/>
      <c r="K24" s="5"/>
      <c r="L24" s="6"/>
      <c r="M24" s="5"/>
      <c r="N24" s="15">
        <v>44964</v>
      </c>
      <c r="O24" s="8">
        <v>0</v>
      </c>
      <c r="P24" s="9">
        <v>44964</v>
      </c>
      <c r="Q24" s="8">
        <v>0</v>
      </c>
      <c r="R24" s="9">
        <v>44964</v>
      </c>
      <c r="S24" s="8">
        <v>0</v>
      </c>
      <c r="T24" s="9">
        <v>44964</v>
      </c>
      <c r="U24" s="8">
        <v>0</v>
      </c>
      <c r="V24" s="9">
        <v>44964</v>
      </c>
      <c r="W24" s="8">
        <v>0</v>
      </c>
      <c r="X24" s="9">
        <v>44964</v>
      </c>
      <c r="Y24" s="8">
        <v>0</v>
      </c>
      <c r="Z24" s="9">
        <v>44964</v>
      </c>
      <c r="AA24" s="8">
        <v>0</v>
      </c>
      <c r="AB24" s="9">
        <v>44964</v>
      </c>
      <c r="AC24" s="8">
        <v>0</v>
      </c>
      <c r="AD24" s="8">
        <v>0</v>
      </c>
      <c r="AE24" s="8">
        <v>0</v>
      </c>
      <c r="AF24" s="9">
        <v>44964</v>
      </c>
      <c r="AG24" s="10" t="s">
        <v>189</v>
      </c>
      <c r="AH24" s="9">
        <v>44964</v>
      </c>
      <c r="AI24" s="10" t="s">
        <v>189</v>
      </c>
      <c r="AJ24" s="9">
        <v>44964</v>
      </c>
      <c r="AK24" s="5"/>
    </row>
    <row r="25" spans="1:37" ht="27" hidden="1" customHeight="1">
      <c r="A25" s="1">
        <v>22</v>
      </c>
      <c r="B25" s="5"/>
      <c r="C25" s="5"/>
      <c r="D25" s="5"/>
      <c r="E25" s="13"/>
      <c r="F25" s="39" t="s">
        <v>208</v>
      </c>
      <c r="G25" s="1"/>
      <c r="H25" s="14">
        <v>3</v>
      </c>
      <c r="I25" s="5"/>
      <c r="J25" s="1"/>
      <c r="K25" s="5"/>
      <c r="L25" s="6"/>
      <c r="M25" s="5"/>
      <c r="N25" s="15">
        <v>44964</v>
      </c>
      <c r="O25" s="8">
        <v>0</v>
      </c>
      <c r="P25" s="9">
        <v>44964</v>
      </c>
      <c r="Q25" s="8">
        <v>0</v>
      </c>
      <c r="R25" s="9">
        <v>44964</v>
      </c>
      <c r="S25" s="8">
        <v>0</v>
      </c>
      <c r="T25" s="9">
        <v>44964</v>
      </c>
      <c r="U25" s="8">
        <v>0</v>
      </c>
      <c r="V25" s="9">
        <v>44964</v>
      </c>
      <c r="W25" s="8">
        <v>0</v>
      </c>
      <c r="X25" s="9">
        <v>44964</v>
      </c>
      <c r="Y25" s="8">
        <v>0</v>
      </c>
      <c r="Z25" s="9">
        <v>44964</v>
      </c>
      <c r="AA25" s="8">
        <v>0</v>
      </c>
      <c r="AB25" s="9">
        <v>44964</v>
      </c>
      <c r="AC25" s="8">
        <v>0</v>
      </c>
      <c r="AD25" s="8">
        <v>0</v>
      </c>
      <c r="AE25" s="8">
        <v>0</v>
      </c>
      <c r="AF25" s="9">
        <v>44964</v>
      </c>
      <c r="AG25" s="10" t="s">
        <v>189</v>
      </c>
      <c r="AH25" s="9">
        <v>44964</v>
      </c>
      <c r="AI25" s="10" t="s">
        <v>189</v>
      </c>
      <c r="AJ25" s="9">
        <v>44964</v>
      </c>
      <c r="AK25" s="5"/>
    </row>
    <row r="26" spans="1:37" ht="27" hidden="1" customHeight="1">
      <c r="A26" s="1">
        <v>23</v>
      </c>
      <c r="B26" s="5"/>
      <c r="C26" s="5"/>
      <c r="D26" s="5"/>
      <c r="E26" s="13" t="s">
        <v>225</v>
      </c>
      <c r="F26" s="39" t="s">
        <v>32</v>
      </c>
      <c r="G26" s="1"/>
      <c r="H26" s="14">
        <v>1</v>
      </c>
      <c r="I26" s="5"/>
      <c r="J26" s="1"/>
      <c r="K26" s="5"/>
      <c r="L26" s="6"/>
      <c r="M26" s="5"/>
      <c r="N26" s="15">
        <v>44964</v>
      </c>
      <c r="O26" s="8">
        <v>1</v>
      </c>
      <c r="P26" s="9">
        <v>44964</v>
      </c>
      <c r="Q26" s="8">
        <v>0</v>
      </c>
      <c r="R26" s="9">
        <v>44964</v>
      </c>
      <c r="S26" s="8">
        <v>0</v>
      </c>
      <c r="T26" s="9">
        <v>44964</v>
      </c>
      <c r="U26" s="8">
        <v>0</v>
      </c>
      <c r="V26" s="9">
        <v>44964</v>
      </c>
      <c r="W26" s="8">
        <v>0</v>
      </c>
      <c r="X26" s="9">
        <v>44964</v>
      </c>
      <c r="Y26" s="8">
        <v>0</v>
      </c>
      <c r="Z26" s="9">
        <v>44964</v>
      </c>
      <c r="AA26" s="8">
        <v>0</v>
      </c>
      <c r="AB26" s="9">
        <v>44964</v>
      </c>
      <c r="AC26" s="8">
        <v>0</v>
      </c>
      <c r="AD26" s="8">
        <v>0</v>
      </c>
      <c r="AE26" s="8">
        <v>0</v>
      </c>
      <c r="AF26" s="9">
        <v>44964</v>
      </c>
      <c r="AG26" s="10" t="s">
        <v>189</v>
      </c>
      <c r="AH26" s="9">
        <v>44964</v>
      </c>
      <c r="AI26" s="10" t="s">
        <v>189</v>
      </c>
      <c r="AJ26" s="9">
        <v>44964</v>
      </c>
      <c r="AK26" s="5"/>
    </row>
    <row r="27" spans="1:37" ht="27" customHeight="1">
      <c r="A27" s="1">
        <v>24</v>
      </c>
      <c r="B27" s="5"/>
      <c r="C27" s="5"/>
      <c r="D27" s="5"/>
      <c r="E27" s="38" t="s">
        <v>226</v>
      </c>
      <c r="F27" s="38" t="s">
        <v>227</v>
      </c>
      <c r="G27" s="1"/>
      <c r="H27" s="14">
        <v>1</v>
      </c>
      <c r="I27" s="5"/>
      <c r="J27" s="1" t="s">
        <v>30</v>
      </c>
      <c r="K27" s="5"/>
      <c r="L27" s="6"/>
      <c r="M27" s="5"/>
      <c r="N27" s="15">
        <v>44964</v>
      </c>
      <c r="O27" s="8">
        <v>0</v>
      </c>
      <c r="P27" s="9">
        <v>44964</v>
      </c>
      <c r="Q27" s="8">
        <v>0</v>
      </c>
      <c r="R27" s="9">
        <v>44964</v>
      </c>
      <c r="S27" s="8">
        <v>0</v>
      </c>
      <c r="T27" s="9">
        <v>44964</v>
      </c>
      <c r="U27" s="8">
        <v>0</v>
      </c>
      <c r="V27" s="9">
        <v>44964</v>
      </c>
      <c r="W27" s="8">
        <v>0</v>
      </c>
      <c r="X27" s="9">
        <v>44964</v>
      </c>
      <c r="Y27" s="8">
        <v>0</v>
      </c>
      <c r="Z27" s="9">
        <v>44964</v>
      </c>
      <c r="AA27" s="8">
        <v>0</v>
      </c>
      <c r="AB27" s="9">
        <v>44964</v>
      </c>
      <c r="AC27" s="8">
        <v>0</v>
      </c>
      <c r="AD27" s="8">
        <v>0</v>
      </c>
      <c r="AE27" s="8">
        <v>0</v>
      </c>
      <c r="AF27" s="9">
        <v>44964</v>
      </c>
      <c r="AG27" s="10" t="s">
        <v>189</v>
      </c>
      <c r="AH27" s="9">
        <v>44964</v>
      </c>
      <c r="AI27" s="10" t="s">
        <v>189</v>
      </c>
      <c r="AJ27" s="9">
        <v>44964</v>
      </c>
      <c r="AK27" s="5"/>
    </row>
    <row r="28" spans="1:37" ht="27" customHeight="1">
      <c r="A28" s="1">
        <v>25</v>
      </c>
      <c r="B28" s="5"/>
      <c r="C28" s="5"/>
      <c r="D28" s="5"/>
      <c r="E28" s="38" t="s">
        <v>228</v>
      </c>
      <c r="F28" s="38" t="s">
        <v>202</v>
      </c>
      <c r="G28" s="1"/>
      <c r="H28" s="14">
        <v>1</v>
      </c>
      <c r="I28" s="5"/>
      <c r="J28" s="1" t="s">
        <v>31</v>
      </c>
      <c r="K28" s="5"/>
      <c r="L28" s="6"/>
      <c r="M28" s="5"/>
      <c r="N28" s="15">
        <v>44964</v>
      </c>
      <c r="O28" s="8">
        <v>1</v>
      </c>
      <c r="P28" s="9">
        <v>44964</v>
      </c>
      <c r="Q28" s="8">
        <v>0</v>
      </c>
      <c r="R28" s="9">
        <v>44964</v>
      </c>
      <c r="S28" s="8">
        <v>0</v>
      </c>
      <c r="T28" s="9">
        <v>44964</v>
      </c>
      <c r="U28" s="8">
        <v>0</v>
      </c>
      <c r="V28" s="9">
        <v>44964</v>
      </c>
      <c r="W28" s="8">
        <v>0</v>
      </c>
      <c r="X28" s="9">
        <v>44964</v>
      </c>
      <c r="Y28" s="8">
        <v>0</v>
      </c>
      <c r="Z28" s="9">
        <v>44964</v>
      </c>
      <c r="AA28" s="8">
        <v>0</v>
      </c>
      <c r="AB28" s="9">
        <v>44964</v>
      </c>
      <c r="AC28" s="8">
        <v>0</v>
      </c>
      <c r="AD28" s="8">
        <v>0</v>
      </c>
      <c r="AE28" s="8">
        <v>0</v>
      </c>
      <c r="AF28" s="9">
        <v>44964</v>
      </c>
      <c r="AG28" s="10" t="s">
        <v>189</v>
      </c>
      <c r="AH28" s="9">
        <v>44964</v>
      </c>
      <c r="AI28" s="10" t="s">
        <v>189</v>
      </c>
      <c r="AJ28" s="9">
        <v>44964</v>
      </c>
      <c r="AK28" s="5"/>
    </row>
    <row r="29" spans="1:37" ht="27" hidden="1" customHeight="1">
      <c r="A29" s="1">
        <v>26</v>
      </c>
      <c r="B29" s="5"/>
      <c r="C29" s="5"/>
      <c r="D29" s="5"/>
      <c r="E29" s="38" t="s">
        <v>229</v>
      </c>
      <c r="F29" s="38" t="s">
        <v>200</v>
      </c>
      <c r="G29" s="1"/>
      <c r="H29" s="14">
        <v>1</v>
      </c>
      <c r="I29" s="5"/>
      <c r="J29" s="1"/>
      <c r="K29" s="5"/>
      <c r="L29" s="6"/>
      <c r="M29" s="5"/>
      <c r="N29" s="15">
        <v>44964</v>
      </c>
      <c r="O29" s="8">
        <v>0</v>
      </c>
      <c r="P29" s="9">
        <v>44964</v>
      </c>
      <c r="Q29" s="8">
        <v>0</v>
      </c>
      <c r="R29" s="9">
        <v>44964</v>
      </c>
      <c r="S29" s="8">
        <v>0</v>
      </c>
      <c r="T29" s="9">
        <v>44964</v>
      </c>
      <c r="U29" s="8">
        <v>0</v>
      </c>
      <c r="V29" s="9">
        <v>44964</v>
      </c>
      <c r="W29" s="8">
        <v>0</v>
      </c>
      <c r="X29" s="9">
        <v>44964</v>
      </c>
      <c r="Y29" s="8">
        <v>0</v>
      </c>
      <c r="Z29" s="9">
        <v>44964</v>
      </c>
      <c r="AA29" s="8">
        <v>0</v>
      </c>
      <c r="AB29" s="9">
        <v>44964</v>
      </c>
      <c r="AC29" s="8">
        <v>0</v>
      </c>
      <c r="AD29" s="8">
        <v>0</v>
      </c>
      <c r="AE29" s="8">
        <v>0</v>
      </c>
      <c r="AF29" s="9">
        <v>44964</v>
      </c>
      <c r="AG29" s="10" t="s">
        <v>189</v>
      </c>
      <c r="AH29" s="9">
        <v>44964</v>
      </c>
      <c r="AI29" s="10" t="s">
        <v>189</v>
      </c>
      <c r="AJ29" s="9">
        <v>44964</v>
      </c>
      <c r="AK29" s="5"/>
    </row>
    <row r="30" spans="1:37" ht="27" hidden="1" customHeight="1">
      <c r="A30" s="1">
        <v>27</v>
      </c>
      <c r="B30" s="5"/>
      <c r="C30" s="5"/>
      <c r="D30" s="5"/>
      <c r="E30" s="38"/>
      <c r="F30" s="38" t="s">
        <v>208</v>
      </c>
      <c r="G30" s="1"/>
      <c r="H30" s="14">
        <v>1</v>
      </c>
      <c r="I30" s="5"/>
      <c r="J30" s="1"/>
      <c r="K30" s="5"/>
      <c r="L30" s="6"/>
      <c r="M30" s="5"/>
      <c r="N30" s="15">
        <v>44964</v>
      </c>
      <c r="O30" s="8">
        <v>0</v>
      </c>
      <c r="P30" s="9">
        <v>44964</v>
      </c>
      <c r="Q30" s="8">
        <v>0</v>
      </c>
      <c r="R30" s="9">
        <v>44964</v>
      </c>
      <c r="S30" s="8">
        <v>0</v>
      </c>
      <c r="T30" s="9">
        <v>44964</v>
      </c>
      <c r="U30" s="8">
        <v>0</v>
      </c>
      <c r="V30" s="9">
        <v>44964</v>
      </c>
      <c r="W30" s="8">
        <v>0</v>
      </c>
      <c r="X30" s="9">
        <v>44964</v>
      </c>
      <c r="Y30" s="8">
        <v>0</v>
      </c>
      <c r="Z30" s="9">
        <v>44964</v>
      </c>
      <c r="AA30" s="8">
        <v>0</v>
      </c>
      <c r="AB30" s="9">
        <v>44964</v>
      </c>
      <c r="AC30" s="8">
        <v>0</v>
      </c>
      <c r="AD30" s="8">
        <v>0</v>
      </c>
      <c r="AE30" s="8">
        <v>0</v>
      </c>
      <c r="AF30" s="9">
        <v>44964</v>
      </c>
      <c r="AG30" s="10" t="s">
        <v>189</v>
      </c>
      <c r="AH30" s="9">
        <v>44964</v>
      </c>
      <c r="AI30" s="10" t="s">
        <v>189</v>
      </c>
      <c r="AJ30" s="9">
        <v>44964</v>
      </c>
      <c r="AK30" s="5"/>
    </row>
    <row r="31" spans="1:37" ht="27" hidden="1" customHeight="1">
      <c r="A31" s="1">
        <v>28</v>
      </c>
      <c r="B31" s="5"/>
      <c r="C31" s="5"/>
      <c r="D31" s="5"/>
      <c r="E31" s="13" t="s">
        <v>230</v>
      </c>
      <c r="F31" s="38" t="s">
        <v>213</v>
      </c>
      <c r="G31" s="1"/>
      <c r="H31" s="14">
        <v>1</v>
      </c>
      <c r="I31" s="5"/>
      <c r="J31" s="1"/>
      <c r="K31" s="5"/>
      <c r="L31" s="6"/>
      <c r="M31" s="5"/>
      <c r="N31" s="15">
        <v>44964</v>
      </c>
      <c r="O31" s="8">
        <v>0</v>
      </c>
      <c r="P31" s="9">
        <v>44964</v>
      </c>
      <c r="Q31" s="8">
        <v>0</v>
      </c>
      <c r="R31" s="9">
        <v>44964</v>
      </c>
      <c r="S31" s="8">
        <v>0</v>
      </c>
      <c r="T31" s="9">
        <v>44964</v>
      </c>
      <c r="U31" s="8">
        <v>0</v>
      </c>
      <c r="V31" s="9">
        <v>44964</v>
      </c>
      <c r="W31" s="8">
        <v>0</v>
      </c>
      <c r="X31" s="9">
        <v>44964</v>
      </c>
      <c r="Y31" s="8">
        <v>0</v>
      </c>
      <c r="Z31" s="9">
        <v>44964</v>
      </c>
      <c r="AA31" s="8">
        <v>0</v>
      </c>
      <c r="AB31" s="9">
        <v>44964</v>
      </c>
      <c r="AC31" s="8">
        <v>0</v>
      </c>
      <c r="AD31" s="8">
        <v>0</v>
      </c>
      <c r="AE31" s="8">
        <v>0</v>
      </c>
      <c r="AF31" s="9">
        <v>44964</v>
      </c>
      <c r="AG31" s="10" t="s">
        <v>189</v>
      </c>
      <c r="AH31" s="9">
        <v>44964</v>
      </c>
      <c r="AI31" s="10" t="s">
        <v>189</v>
      </c>
      <c r="AJ31" s="9">
        <v>44964</v>
      </c>
      <c r="AK31" s="5"/>
    </row>
    <row r="32" spans="1:37" ht="27" customHeight="1">
      <c r="A32" s="1">
        <v>29</v>
      </c>
      <c r="B32" s="5"/>
      <c r="C32" s="5"/>
      <c r="D32" s="5"/>
      <c r="E32" s="13" t="s">
        <v>231</v>
      </c>
      <c r="F32" s="38" t="s">
        <v>202</v>
      </c>
      <c r="G32" s="1"/>
      <c r="H32" s="14">
        <v>1</v>
      </c>
      <c r="I32" s="5"/>
      <c r="J32" s="1" t="s">
        <v>31</v>
      </c>
      <c r="K32" s="5"/>
      <c r="L32" s="6"/>
      <c r="M32" s="5"/>
      <c r="N32" s="15">
        <v>44964</v>
      </c>
      <c r="O32" s="8">
        <v>1</v>
      </c>
      <c r="P32" s="9">
        <v>44964</v>
      </c>
      <c r="Q32" s="8">
        <v>0</v>
      </c>
      <c r="R32" s="9">
        <v>44964</v>
      </c>
      <c r="S32" s="8">
        <v>0</v>
      </c>
      <c r="T32" s="9">
        <v>44964</v>
      </c>
      <c r="U32" s="8">
        <v>0</v>
      </c>
      <c r="V32" s="9">
        <v>44964</v>
      </c>
      <c r="W32" s="8">
        <v>0</v>
      </c>
      <c r="X32" s="9">
        <v>44964</v>
      </c>
      <c r="Y32" s="8">
        <v>0</v>
      </c>
      <c r="Z32" s="9">
        <v>44964</v>
      </c>
      <c r="AA32" s="8">
        <v>0</v>
      </c>
      <c r="AB32" s="9">
        <v>44964</v>
      </c>
      <c r="AC32" s="8">
        <v>0</v>
      </c>
      <c r="AD32" s="8">
        <v>0</v>
      </c>
      <c r="AE32" s="8">
        <v>0</v>
      </c>
      <c r="AF32" s="9">
        <v>44964</v>
      </c>
      <c r="AG32" s="10" t="s">
        <v>189</v>
      </c>
      <c r="AH32" s="9">
        <v>44964</v>
      </c>
      <c r="AI32" s="10" t="s">
        <v>189</v>
      </c>
      <c r="AJ32" s="9">
        <v>44964</v>
      </c>
      <c r="AK32" s="5"/>
    </row>
    <row r="33" spans="1:37" ht="27" hidden="1" customHeight="1">
      <c r="A33" s="1">
        <v>30</v>
      </c>
      <c r="B33" s="5"/>
      <c r="C33" s="5"/>
      <c r="D33" s="5"/>
      <c r="E33" s="13" t="s">
        <v>232</v>
      </c>
      <c r="F33" s="39" t="s">
        <v>200</v>
      </c>
      <c r="G33" s="1"/>
      <c r="H33" s="14">
        <v>1</v>
      </c>
      <c r="I33" s="5"/>
      <c r="J33" s="1"/>
      <c r="K33" s="5"/>
      <c r="L33" s="6"/>
      <c r="M33" s="5"/>
      <c r="N33" s="15">
        <v>44964</v>
      </c>
      <c r="O33" s="8">
        <v>0</v>
      </c>
      <c r="P33" s="9">
        <v>44964</v>
      </c>
      <c r="Q33" s="8">
        <v>0</v>
      </c>
      <c r="R33" s="9">
        <v>44964</v>
      </c>
      <c r="S33" s="8">
        <v>0</v>
      </c>
      <c r="T33" s="9">
        <v>44964</v>
      </c>
      <c r="U33" s="8">
        <v>0</v>
      </c>
      <c r="V33" s="9">
        <v>44964</v>
      </c>
      <c r="W33" s="8">
        <v>0</v>
      </c>
      <c r="X33" s="9">
        <v>44964</v>
      </c>
      <c r="Y33" s="8">
        <v>0</v>
      </c>
      <c r="Z33" s="9">
        <v>44964</v>
      </c>
      <c r="AA33" s="8">
        <v>0</v>
      </c>
      <c r="AB33" s="9">
        <v>44964</v>
      </c>
      <c r="AC33" s="8">
        <v>0</v>
      </c>
      <c r="AD33" s="8">
        <v>0</v>
      </c>
      <c r="AE33" s="8">
        <v>0</v>
      </c>
      <c r="AF33" s="9">
        <v>44964</v>
      </c>
      <c r="AG33" s="10" t="s">
        <v>189</v>
      </c>
      <c r="AH33" s="9">
        <v>44964</v>
      </c>
      <c r="AI33" s="10" t="s">
        <v>189</v>
      </c>
      <c r="AJ33" s="9">
        <v>44964</v>
      </c>
      <c r="AK33" s="5"/>
    </row>
    <row r="34" spans="1:37" ht="27" hidden="1" customHeight="1">
      <c r="A34" s="1">
        <v>31</v>
      </c>
      <c r="B34" s="5"/>
      <c r="C34" s="5"/>
      <c r="D34" s="5"/>
      <c r="E34" s="38" t="s">
        <v>233</v>
      </c>
      <c r="F34" s="38" t="s">
        <v>216</v>
      </c>
      <c r="G34" s="1"/>
      <c r="H34" s="14">
        <v>1</v>
      </c>
      <c r="I34" s="5"/>
      <c r="J34" s="1"/>
      <c r="K34" s="5"/>
      <c r="L34" s="6"/>
      <c r="M34" s="5"/>
      <c r="N34" s="15">
        <v>44964</v>
      </c>
      <c r="O34" s="8">
        <v>0</v>
      </c>
      <c r="P34" s="9">
        <v>44964</v>
      </c>
      <c r="Q34" s="8">
        <v>0</v>
      </c>
      <c r="R34" s="9">
        <v>44964</v>
      </c>
      <c r="S34" s="8">
        <v>0</v>
      </c>
      <c r="T34" s="9">
        <v>44964</v>
      </c>
      <c r="U34" s="8">
        <v>0</v>
      </c>
      <c r="V34" s="9">
        <v>44964</v>
      </c>
      <c r="W34" s="8">
        <v>0</v>
      </c>
      <c r="X34" s="9">
        <v>44964</v>
      </c>
      <c r="Y34" s="8">
        <v>0</v>
      </c>
      <c r="Z34" s="9">
        <v>44964</v>
      </c>
      <c r="AA34" s="8">
        <v>0</v>
      </c>
      <c r="AB34" s="9">
        <v>44964</v>
      </c>
      <c r="AC34" s="8">
        <v>0</v>
      </c>
      <c r="AD34" s="8">
        <v>0</v>
      </c>
      <c r="AE34" s="8">
        <v>0</v>
      </c>
      <c r="AF34" s="9">
        <v>44964</v>
      </c>
      <c r="AG34" s="10" t="s">
        <v>189</v>
      </c>
      <c r="AH34" s="9">
        <v>44964</v>
      </c>
      <c r="AI34" s="10" t="s">
        <v>189</v>
      </c>
      <c r="AJ34" s="9">
        <v>44964</v>
      </c>
      <c r="AK34" s="5"/>
    </row>
    <row r="35" spans="1:37" ht="27" hidden="1" customHeight="1">
      <c r="A35" s="1">
        <v>32</v>
      </c>
      <c r="B35" s="5"/>
      <c r="C35" s="5"/>
      <c r="D35" s="5"/>
      <c r="E35" s="13" t="s">
        <v>234</v>
      </c>
      <c r="F35" s="38" t="s">
        <v>197</v>
      </c>
      <c r="G35" s="1"/>
      <c r="H35" s="14">
        <v>1</v>
      </c>
      <c r="I35" s="5"/>
      <c r="J35" s="1" t="s">
        <v>198</v>
      </c>
      <c r="K35" s="5"/>
      <c r="L35" s="6"/>
      <c r="M35" s="5"/>
      <c r="N35" s="15">
        <v>44996</v>
      </c>
      <c r="O35" s="8">
        <v>1</v>
      </c>
      <c r="P35" s="9">
        <v>44964</v>
      </c>
      <c r="Q35" s="8">
        <v>0</v>
      </c>
      <c r="R35" s="9">
        <v>44964</v>
      </c>
      <c r="S35" s="8">
        <v>0</v>
      </c>
      <c r="T35" s="9">
        <v>44964</v>
      </c>
      <c r="U35" s="8">
        <v>0</v>
      </c>
      <c r="V35" s="9">
        <v>44964</v>
      </c>
      <c r="W35" s="8">
        <v>0</v>
      </c>
      <c r="X35" s="9">
        <v>44964</v>
      </c>
      <c r="Y35" s="8">
        <v>0</v>
      </c>
      <c r="Z35" s="9">
        <v>44964</v>
      </c>
      <c r="AA35" s="8">
        <v>0</v>
      </c>
      <c r="AB35" s="9">
        <v>44964</v>
      </c>
      <c r="AC35" s="8">
        <v>0</v>
      </c>
      <c r="AD35" s="8">
        <v>0</v>
      </c>
      <c r="AE35" s="8">
        <v>0</v>
      </c>
      <c r="AF35" s="9">
        <v>44964</v>
      </c>
      <c r="AG35" s="10" t="s">
        <v>189</v>
      </c>
      <c r="AH35" s="9">
        <v>44964</v>
      </c>
      <c r="AI35" s="10" t="s">
        <v>189</v>
      </c>
      <c r="AJ35" s="9">
        <v>44964</v>
      </c>
      <c r="AK35" s="5"/>
    </row>
    <row r="36" spans="1:37" ht="27" hidden="1" customHeight="1">
      <c r="A36" s="1">
        <v>33</v>
      </c>
      <c r="B36" s="5"/>
      <c r="C36" s="5"/>
      <c r="D36" s="5"/>
      <c r="E36" s="13"/>
      <c r="F36" s="38" t="s">
        <v>235</v>
      </c>
      <c r="G36" s="1"/>
      <c r="H36" s="14">
        <v>2</v>
      </c>
      <c r="I36" s="5"/>
      <c r="J36" s="1"/>
      <c r="K36" s="5"/>
      <c r="L36" s="6"/>
      <c r="M36" s="5"/>
      <c r="N36" s="15">
        <v>44964</v>
      </c>
      <c r="O36" s="8">
        <v>0</v>
      </c>
      <c r="P36" s="9">
        <v>44964</v>
      </c>
      <c r="Q36" s="8">
        <v>0</v>
      </c>
      <c r="R36" s="9">
        <v>44964</v>
      </c>
      <c r="S36" s="8">
        <v>0</v>
      </c>
      <c r="T36" s="9">
        <v>44964</v>
      </c>
      <c r="U36" s="8">
        <v>0</v>
      </c>
      <c r="V36" s="9">
        <v>44964</v>
      </c>
      <c r="W36" s="8">
        <v>0</v>
      </c>
      <c r="X36" s="9">
        <v>44964</v>
      </c>
      <c r="Y36" s="8">
        <v>0</v>
      </c>
      <c r="Z36" s="9">
        <v>44964</v>
      </c>
      <c r="AA36" s="8">
        <v>0</v>
      </c>
      <c r="AB36" s="9">
        <v>44964</v>
      </c>
      <c r="AC36" s="8">
        <v>0</v>
      </c>
      <c r="AD36" s="8">
        <v>0</v>
      </c>
      <c r="AE36" s="8">
        <v>0</v>
      </c>
      <c r="AF36" s="9">
        <v>44964</v>
      </c>
      <c r="AG36" s="10" t="s">
        <v>189</v>
      </c>
      <c r="AH36" s="9">
        <v>44964</v>
      </c>
      <c r="AI36" s="10" t="s">
        <v>189</v>
      </c>
      <c r="AJ36" s="9">
        <v>44964</v>
      </c>
      <c r="AK36" s="5"/>
    </row>
    <row r="37" spans="1:37" ht="27" hidden="1" customHeight="1">
      <c r="A37" s="1">
        <v>34</v>
      </c>
      <c r="B37" s="5"/>
      <c r="C37" s="5"/>
      <c r="D37" s="5"/>
      <c r="E37" s="13" t="s">
        <v>236</v>
      </c>
      <c r="F37" s="38" t="s">
        <v>237</v>
      </c>
      <c r="G37" s="1"/>
      <c r="H37" s="14">
        <v>6</v>
      </c>
      <c r="I37" s="5"/>
      <c r="J37" s="1"/>
      <c r="K37" s="5"/>
      <c r="L37" s="6"/>
      <c r="M37" s="5"/>
      <c r="N37" s="15">
        <v>44964</v>
      </c>
      <c r="O37" s="8">
        <v>0</v>
      </c>
      <c r="P37" s="9">
        <v>44964</v>
      </c>
      <c r="Q37" s="8">
        <v>0</v>
      </c>
      <c r="R37" s="9">
        <v>44964</v>
      </c>
      <c r="S37" s="8">
        <v>0</v>
      </c>
      <c r="T37" s="9">
        <v>44964</v>
      </c>
      <c r="U37" s="8">
        <v>0</v>
      </c>
      <c r="V37" s="9">
        <v>44964</v>
      </c>
      <c r="W37" s="8">
        <v>0</v>
      </c>
      <c r="X37" s="9">
        <v>44964</v>
      </c>
      <c r="Y37" s="8">
        <v>0</v>
      </c>
      <c r="Z37" s="9">
        <v>44964</v>
      </c>
      <c r="AA37" s="8">
        <v>0</v>
      </c>
      <c r="AB37" s="9">
        <v>44964</v>
      </c>
      <c r="AC37" s="8">
        <v>0</v>
      </c>
      <c r="AD37" s="8">
        <v>0</v>
      </c>
      <c r="AE37" s="8">
        <v>0</v>
      </c>
      <c r="AF37" s="9">
        <v>44964</v>
      </c>
      <c r="AG37" s="10" t="s">
        <v>189</v>
      </c>
      <c r="AH37" s="9">
        <v>44964</v>
      </c>
      <c r="AI37" s="10" t="s">
        <v>189</v>
      </c>
      <c r="AJ37" s="9">
        <v>44964</v>
      </c>
      <c r="AK37" s="5"/>
    </row>
    <row r="38" spans="1:37" ht="27" customHeight="1">
      <c r="A38" s="1">
        <v>35</v>
      </c>
      <c r="B38" s="5"/>
      <c r="C38" s="5"/>
      <c r="D38" s="5"/>
      <c r="E38" s="13" t="s">
        <v>238</v>
      </c>
      <c r="F38" s="38" t="s">
        <v>239</v>
      </c>
      <c r="G38" s="1"/>
      <c r="H38" s="14">
        <v>1</v>
      </c>
      <c r="I38" s="5"/>
      <c r="J38" s="1" t="s">
        <v>31</v>
      </c>
      <c r="K38" s="5"/>
      <c r="L38" s="6"/>
      <c r="M38" s="5"/>
      <c r="N38" s="15">
        <v>44964</v>
      </c>
      <c r="O38" s="8">
        <v>1</v>
      </c>
      <c r="P38" s="9">
        <v>44964</v>
      </c>
      <c r="Q38" s="8">
        <v>0</v>
      </c>
      <c r="R38" s="9">
        <v>44964</v>
      </c>
      <c r="S38" s="8">
        <v>0</v>
      </c>
      <c r="T38" s="9">
        <v>44964</v>
      </c>
      <c r="U38" s="8">
        <v>0</v>
      </c>
      <c r="V38" s="9">
        <v>44964</v>
      </c>
      <c r="W38" s="8">
        <v>0</v>
      </c>
      <c r="X38" s="9">
        <v>44964</v>
      </c>
      <c r="Y38" s="8">
        <v>0</v>
      </c>
      <c r="Z38" s="9">
        <v>44964</v>
      </c>
      <c r="AA38" s="8">
        <v>0</v>
      </c>
      <c r="AB38" s="9">
        <v>44964</v>
      </c>
      <c r="AC38" s="8">
        <v>0</v>
      </c>
      <c r="AD38" s="8">
        <v>0</v>
      </c>
      <c r="AE38" s="8">
        <v>0</v>
      </c>
      <c r="AF38" s="9">
        <v>44964</v>
      </c>
      <c r="AG38" s="10" t="s">
        <v>189</v>
      </c>
      <c r="AH38" s="9">
        <v>44964</v>
      </c>
      <c r="AI38" s="10" t="s">
        <v>189</v>
      </c>
      <c r="AJ38" s="9">
        <v>44964</v>
      </c>
      <c r="AK38" s="5"/>
    </row>
    <row r="39" spans="1:37" ht="27" hidden="1" customHeight="1">
      <c r="A39" s="1">
        <v>36</v>
      </c>
      <c r="B39" s="5"/>
      <c r="C39" s="5"/>
      <c r="D39" s="5"/>
      <c r="E39" s="13"/>
      <c r="F39" s="39" t="s">
        <v>222</v>
      </c>
      <c r="G39" s="1"/>
      <c r="H39" s="14">
        <v>0</v>
      </c>
      <c r="I39" s="5"/>
      <c r="J39" s="1"/>
      <c r="K39" s="5"/>
      <c r="L39" s="6"/>
      <c r="M39" s="5"/>
      <c r="N39" s="15">
        <v>44964</v>
      </c>
      <c r="O39" s="8">
        <v>0</v>
      </c>
      <c r="P39" s="9">
        <v>44964</v>
      </c>
      <c r="Q39" s="8">
        <v>0</v>
      </c>
      <c r="R39" s="9">
        <v>44964</v>
      </c>
      <c r="S39" s="8">
        <v>0</v>
      </c>
      <c r="T39" s="9">
        <v>44964</v>
      </c>
      <c r="U39" s="8">
        <v>0</v>
      </c>
      <c r="V39" s="9">
        <v>44964</v>
      </c>
      <c r="W39" s="8">
        <v>0</v>
      </c>
      <c r="X39" s="9">
        <v>44964</v>
      </c>
      <c r="Y39" s="8">
        <v>0</v>
      </c>
      <c r="Z39" s="9">
        <v>44964</v>
      </c>
      <c r="AA39" s="8">
        <v>0</v>
      </c>
      <c r="AB39" s="9">
        <v>44964</v>
      </c>
      <c r="AC39" s="8">
        <v>0</v>
      </c>
      <c r="AD39" s="8">
        <v>0</v>
      </c>
      <c r="AE39" s="8">
        <v>0</v>
      </c>
      <c r="AF39" s="9">
        <v>44964</v>
      </c>
      <c r="AG39" s="10" t="s">
        <v>189</v>
      </c>
      <c r="AH39" s="9">
        <v>44964</v>
      </c>
      <c r="AI39" s="10" t="s">
        <v>189</v>
      </c>
      <c r="AJ39" s="9">
        <v>44964</v>
      </c>
      <c r="AK39" s="5"/>
    </row>
    <row r="40" spans="1:37" ht="27" hidden="1" customHeight="1">
      <c r="A40" s="1">
        <v>37</v>
      </c>
      <c r="B40" s="5"/>
      <c r="C40" s="5"/>
      <c r="D40" s="5"/>
      <c r="E40" s="13" t="s">
        <v>240</v>
      </c>
      <c r="F40" s="38" t="s">
        <v>224</v>
      </c>
      <c r="G40" s="1"/>
      <c r="H40" s="14">
        <v>1</v>
      </c>
      <c r="I40" s="5"/>
      <c r="J40" s="1"/>
      <c r="K40" s="5"/>
      <c r="L40" s="6"/>
      <c r="M40" s="5"/>
      <c r="N40" s="15">
        <v>44964</v>
      </c>
      <c r="O40" s="8">
        <v>0</v>
      </c>
      <c r="P40" s="9">
        <v>44964</v>
      </c>
      <c r="Q40" s="8">
        <v>0</v>
      </c>
      <c r="R40" s="9">
        <v>44964</v>
      </c>
      <c r="S40" s="8">
        <v>0</v>
      </c>
      <c r="T40" s="9">
        <v>44964</v>
      </c>
      <c r="U40" s="8">
        <v>0</v>
      </c>
      <c r="V40" s="9">
        <v>44964</v>
      </c>
      <c r="W40" s="8">
        <v>0</v>
      </c>
      <c r="X40" s="9">
        <v>44964</v>
      </c>
      <c r="Y40" s="8">
        <v>0</v>
      </c>
      <c r="Z40" s="9">
        <v>44964</v>
      </c>
      <c r="AA40" s="8">
        <v>0</v>
      </c>
      <c r="AB40" s="9">
        <v>44964</v>
      </c>
      <c r="AC40" s="8">
        <v>0</v>
      </c>
      <c r="AD40" s="8">
        <v>0</v>
      </c>
      <c r="AE40" s="8">
        <v>0</v>
      </c>
      <c r="AF40" s="9">
        <v>44964</v>
      </c>
      <c r="AG40" s="10" t="s">
        <v>189</v>
      </c>
      <c r="AH40" s="9">
        <v>44964</v>
      </c>
      <c r="AI40" s="10" t="s">
        <v>189</v>
      </c>
      <c r="AJ40" s="9">
        <v>44964</v>
      </c>
      <c r="AK40" s="5"/>
    </row>
    <row r="41" spans="1:37" ht="27" hidden="1" customHeight="1">
      <c r="A41" s="1">
        <v>38</v>
      </c>
      <c r="B41" s="5"/>
      <c r="C41" s="5"/>
      <c r="D41" s="5"/>
      <c r="E41" s="13"/>
      <c r="F41" s="38" t="s">
        <v>208</v>
      </c>
      <c r="G41" s="1"/>
      <c r="H41" s="14">
        <v>2</v>
      </c>
      <c r="I41" s="5"/>
      <c r="J41" s="1"/>
      <c r="K41" s="5"/>
      <c r="L41" s="6"/>
      <c r="M41" s="5"/>
      <c r="N41" s="15">
        <v>44964</v>
      </c>
      <c r="O41" s="8">
        <v>0</v>
      </c>
      <c r="P41" s="9">
        <v>44964</v>
      </c>
      <c r="Q41" s="8">
        <v>0</v>
      </c>
      <c r="R41" s="9">
        <v>44964</v>
      </c>
      <c r="S41" s="8">
        <v>0</v>
      </c>
      <c r="T41" s="9">
        <v>44964</v>
      </c>
      <c r="U41" s="8">
        <v>0</v>
      </c>
      <c r="V41" s="9">
        <v>44964</v>
      </c>
      <c r="W41" s="8">
        <v>0</v>
      </c>
      <c r="X41" s="9">
        <v>44964</v>
      </c>
      <c r="Y41" s="8">
        <v>0</v>
      </c>
      <c r="Z41" s="9">
        <v>44964</v>
      </c>
      <c r="AA41" s="8">
        <v>0</v>
      </c>
      <c r="AB41" s="9">
        <v>44964</v>
      </c>
      <c r="AC41" s="8">
        <v>0</v>
      </c>
      <c r="AD41" s="8">
        <v>0</v>
      </c>
      <c r="AE41" s="8">
        <v>0</v>
      </c>
      <c r="AF41" s="9">
        <v>44964</v>
      </c>
      <c r="AG41" s="10" t="s">
        <v>189</v>
      </c>
      <c r="AH41" s="9">
        <v>44964</v>
      </c>
      <c r="AI41" s="10" t="s">
        <v>189</v>
      </c>
      <c r="AJ41" s="9">
        <v>44964</v>
      </c>
      <c r="AK41" s="5"/>
    </row>
    <row r="42" spans="1:37" ht="27" hidden="1" customHeight="1">
      <c r="A42" s="1">
        <v>39</v>
      </c>
      <c r="B42" s="5"/>
      <c r="C42" s="5"/>
      <c r="D42" s="5"/>
      <c r="E42" s="13" t="s">
        <v>241</v>
      </c>
      <c r="F42" s="38" t="s">
        <v>216</v>
      </c>
      <c r="G42" s="1"/>
      <c r="H42" s="14">
        <v>1</v>
      </c>
      <c r="I42" s="5"/>
      <c r="J42" s="1"/>
      <c r="K42" s="5"/>
      <c r="L42" s="6"/>
      <c r="M42" s="5"/>
      <c r="N42" s="15">
        <v>44964</v>
      </c>
      <c r="O42" s="8">
        <v>0</v>
      </c>
      <c r="P42" s="9">
        <v>44964</v>
      </c>
      <c r="Q42" s="8">
        <v>0</v>
      </c>
      <c r="R42" s="9">
        <v>44964</v>
      </c>
      <c r="S42" s="8">
        <v>0</v>
      </c>
      <c r="T42" s="9">
        <v>44964</v>
      </c>
      <c r="U42" s="8">
        <v>0</v>
      </c>
      <c r="V42" s="9">
        <v>44964</v>
      </c>
      <c r="W42" s="8">
        <v>0</v>
      </c>
      <c r="X42" s="9">
        <v>44964</v>
      </c>
      <c r="Y42" s="8">
        <v>0</v>
      </c>
      <c r="Z42" s="9">
        <v>44964</v>
      </c>
      <c r="AA42" s="8">
        <v>0</v>
      </c>
      <c r="AB42" s="9">
        <v>44964</v>
      </c>
      <c r="AC42" s="8">
        <v>0</v>
      </c>
      <c r="AD42" s="8">
        <v>0</v>
      </c>
      <c r="AE42" s="8">
        <v>0</v>
      </c>
      <c r="AF42" s="9">
        <v>44964</v>
      </c>
      <c r="AG42" s="10" t="s">
        <v>189</v>
      </c>
      <c r="AH42" s="9">
        <v>44964</v>
      </c>
      <c r="AI42" s="10" t="s">
        <v>189</v>
      </c>
      <c r="AJ42" s="9">
        <v>44964</v>
      </c>
      <c r="AK42" s="5"/>
    </row>
    <row r="43" spans="1:37" ht="27" hidden="1" customHeight="1">
      <c r="A43" s="1">
        <v>40</v>
      </c>
      <c r="B43" s="5"/>
      <c r="C43" s="5"/>
      <c r="D43" s="5"/>
      <c r="E43" s="13" t="s">
        <v>242</v>
      </c>
      <c r="F43" s="38" t="s">
        <v>32</v>
      </c>
      <c r="G43" s="1"/>
      <c r="H43" s="14">
        <v>1</v>
      </c>
      <c r="I43" s="5"/>
      <c r="J43" s="1"/>
      <c r="K43" s="5"/>
      <c r="L43" s="6"/>
      <c r="M43" s="5"/>
      <c r="N43" s="15">
        <v>44964</v>
      </c>
      <c r="O43" s="8">
        <v>1</v>
      </c>
      <c r="P43" s="9">
        <v>44964</v>
      </c>
      <c r="Q43" s="8">
        <v>0</v>
      </c>
      <c r="R43" s="9">
        <v>44964</v>
      </c>
      <c r="S43" s="8">
        <v>0</v>
      </c>
      <c r="T43" s="9">
        <v>44964</v>
      </c>
      <c r="U43" s="8">
        <v>0</v>
      </c>
      <c r="V43" s="9">
        <v>44964</v>
      </c>
      <c r="W43" s="8">
        <v>0</v>
      </c>
      <c r="X43" s="9">
        <v>44964</v>
      </c>
      <c r="Y43" s="8">
        <v>0</v>
      </c>
      <c r="Z43" s="9">
        <v>44964</v>
      </c>
      <c r="AA43" s="8">
        <v>0</v>
      </c>
      <c r="AB43" s="9">
        <v>44964</v>
      </c>
      <c r="AC43" s="8">
        <v>0</v>
      </c>
      <c r="AD43" s="8">
        <v>0</v>
      </c>
      <c r="AE43" s="8">
        <v>0</v>
      </c>
      <c r="AF43" s="9">
        <v>44964</v>
      </c>
      <c r="AG43" s="10" t="s">
        <v>189</v>
      </c>
      <c r="AH43" s="9">
        <v>44964</v>
      </c>
      <c r="AI43" s="10" t="s">
        <v>189</v>
      </c>
      <c r="AJ43" s="9">
        <v>44964</v>
      </c>
      <c r="AK43" s="5"/>
    </row>
    <row r="44" spans="1:37" ht="27" customHeight="1">
      <c r="A44" s="1">
        <v>41</v>
      </c>
      <c r="B44" s="5"/>
      <c r="C44" s="5"/>
      <c r="D44" s="5"/>
      <c r="E44" s="13" t="s">
        <v>243</v>
      </c>
      <c r="F44" s="38" t="s">
        <v>202</v>
      </c>
      <c r="G44" s="1"/>
      <c r="H44" s="14">
        <v>1</v>
      </c>
      <c r="I44" s="5"/>
      <c r="J44" s="1" t="s">
        <v>31</v>
      </c>
      <c r="K44" s="5"/>
      <c r="L44" s="6"/>
      <c r="M44" s="5"/>
      <c r="N44" s="15">
        <v>44964</v>
      </c>
      <c r="O44" s="8">
        <v>1</v>
      </c>
      <c r="P44" s="9">
        <v>44964</v>
      </c>
      <c r="Q44" s="8">
        <v>0</v>
      </c>
      <c r="R44" s="9">
        <v>44964</v>
      </c>
      <c r="S44" s="8">
        <v>0</v>
      </c>
      <c r="T44" s="9">
        <v>44964</v>
      </c>
      <c r="U44" s="8">
        <v>0</v>
      </c>
      <c r="V44" s="9">
        <v>44964</v>
      </c>
      <c r="W44" s="8">
        <v>0</v>
      </c>
      <c r="X44" s="9">
        <v>44964</v>
      </c>
      <c r="Y44" s="8">
        <v>0</v>
      </c>
      <c r="Z44" s="9">
        <v>44964</v>
      </c>
      <c r="AA44" s="8">
        <v>0</v>
      </c>
      <c r="AB44" s="9">
        <v>44964</v>
      </c>
      <c r="AC44" s="8">
        <v>0</v>
      </c>
      <c r="AD44" s="8">
        <v>0</v>
      </c>
      <c r="AE44" s="8">
        <v>0</v>
      </c>
      <c r="AF44" s="9">
        <v>44964</v>
      </c>
      <c r="AG44" s="10" t="s">
        <v>189</v>
      </c>
      <c r="AH44" s="9">
        <v>44964</v>
      </c>
      <c r="AI44" s="10" t="s">
        <v>189</v>
      </c>
      <c r="AJ44" s="9">
        <v>44964</v>
      </c>
      <c r="AK44" s="5"/>
    </row>
    <row r="45" spans="1:37" ht="27" hidden="1" customHeight="1">
      <c r="A45" s="1">
        <v>42</v>
      </c>
      <c r="B45" s="5"/>
      <c r="C45" s="5"/>
      <c r="D45" s="5"/>
      <c r="E45" s="13" t="s">
        <v>244</v>
      </c>
      <c r="F45" s="38" t="s">
        <v>200</v>
      </c>
      <c r="G45" s="1"/>
      <c r="H45" s="14">
        <v>1</v>
      </c>
      <c r="I45" s="5"/>
      <c r="J45" s="1"/>
      <c r="K45" s="5"/>
      <c r="L45" s="6"/>
      <c r="M45" s="5"/>
      <c r="N45" s="15">
        <v>44964</v>
      </c>
      <c r="O45" s="8">
        <v>0</v>
      </c>
      <c r="P45" s="9">
        <v>44964</v>
      </c>
      <c r="Q45" s="8">
        <v>0</v>
      </c>
      <c r="R45" s="9">
        <v>44964</v>
      </c>
      <c r="S45" s="8">
        <v>0</v>
      </c>
      <c r="T45" s="9">
        <v>44964</v>
      </c>
      <c r="U45" s="8">
        <v>0</v>
      </c>
      <c r="V45" s="9">
        <v>44964</v>
      </c>
      <c r="W45" s="8">
        <v>0</v>
      </c>
      <c r="X45" s="9">
        <v>44964</v>
      </c>
      <c r="Y45" s="8">
        <v>0</v>
      </c>
      <c r="Z45" s="9">
        <v>44964</v>
      </c>
      <c r="AA45" s="8">
        <v>0</v>
      </c>
      <c r="AB45" s="9">
        <v>44964</v>
      </c>
      <c r="AC45" s="8">
        <v>0</v>
      </c>
      <c r="AD45" s="8">
        <v>0</v>
      </c>
      <c r="AE45" s="8">
        <v>0</v>
      </c>
      <c r="AF45" s="9">
        <v>44964</v>
      </c>
      <c r="AG45" s="10" t="s">
        <v>189</v>
      </c>
      <c r="AH45" s="9">
        <v>44964</v>
      </c>
      <c r="AI45" s="10" t="s">
        <v>189</v>
      </c>
      <c r="AJ45" s="9">
        <v>44964</v>
      </c>
      <c r="AK45" s="5"/>
    </row>
    <row r="46" spans="1:37" ht="27" hidden="1" customHeight="1">
      <c r="A46" s="1">
        <v>43</v>
      </c>
      <c r="B46" s="5"/>
      <c r="C46" s="5"/>
      <c r="D46" s="5"/>
      <c r="E46" s="13" t="s">
        <v>245</v>
      </c>
      <c r="F46" s="38" t="s">
        <v>216</v>
      </c>
      <c r="G46" s="1"/>
      <c r="H46" s="14">
        <v>1</v>
      </c>
      <c r="I46" s="5"/>
      <c r="J46" s="1"/>
      <c r="K46" s="5"/>
      <c r="L46" s="6"/>
      <c r="M46" s="5"/>
      <c r="N46" s="15">
        <v>44964</v>
      </c>
      <c r="O46" s="8">
        <v>0</v>
      </c>
      <c r="P46" s="9">
        <v>44964</v>
      </c>
      <c r="Q46" s="8">
        <v>0</v>
      </c>
      <c r="R46" s="9">
        <v>44964</v>
      </c>
      <c r="S46" s="8">
        <v>0</v>
      </c>
      <c r="T46" s="9">
        <v>44964</v>
      </c>
      <c r="U46" s="8">
        <v>0</v>
      </c>
      <c r="V46" s="9">
        <v>44964</v>
      </c>
      <c r="W46" s="8">
        <v>0</v>
      </c>
      <c r="X46" s="9">
        <v>44964</v>
      </c>
      <c r="Y46" s="8">
        <v>0</v>
      </c>
      <c r="Z46" s="9">
        <v>44964</v>
      </c>
      <c r="AA46" s="8">
        <v>0</v>
      </c>
      <c r="AB46" s="9">
        <v>44964</v>
      </c>
      <c r="AC46" s="8">
        <v>0</v>
      </c>
      <c r="AD46" s="8">
        <v>0</v>
      </c>
      <c r="AE46" s="8">
        <v>0</v>
      </c>
      <c r="AF46" s="9">
        <v>44964</v>
      </c>
      <c r="AG46" s="10" t="s">
        <v>189</v>
      </c>
      <c r="AH46" s="9">
        <v>44964</v>
      </c>
      <c r="AI46" s="10" t="s">
        <v>189</v>
      </c>
      <c r="AJ46" s="9">
        <v>44964</v>
      </c>
      <c r="AK46" s="5"/>
    </row>
    <row r="47" spans="1:37" ht="27" hidden="1" customHeight="1">
      <c r="A47" s="1">
        <v>44</v>
      </c>
      <c r="B47" s="5"/>
      <c r="C47" s="5"/>
      <c r="D47" s="5"/>
      <c r="E47" s="13" t="s">
        <v>246</v>
      </c>
      <c r="F47" s="38" t="s">
        <v>247</v>
      </c>
      <c r="G47" s="1"/>
      <c r="H47" s="14">
        <v>1</v>
      </c>
      <c r="I47" s="5"/>
      <c r="J47" s="1" t="s">
        <v>198</v>
      </c>
      <c r="K47" s="5"/>
      <c r="L47" s="6"/>
      <c r="M47" s="5"/>
      <c r="N47" s="15">
        <v>44996</v>
      </c>
      <c r="O47" s="8">
        <v>1</v>
      </c>
      <c r="P47" s="9">
        <v>44964</v>
      </c>
      <c r="Q47" s="8">
        <v>0</v>
      </c>
      <c r="R47" s="9">
        <v>44964</v>
      </c>
      <c r="S47" s="8">
        <v>0</v>
      </c>
      <c r="T47" s="9">
        <v>44964</v>
      </c>
      <c r="U47" s="8">
        <v>0</v>
      </c>
      <c r="V47" s="9">
        <v>44964</v>
      </c>
      <c r="W47" s="8">
        <v>0</v>
      </c>
      <c r="X47" s="9">
        <v>44964</v>
      </c>
      <c r="Y47" s="8">
        <v>0</v>
      </c>
      <c r="Z47" s="9">
        <v>44964</v>
      </c>
      <c r="AA47" s="8">
        <v>0</v>
      </c>
      <c r="AB47" s="9">
        <v>44964</v>
      </c>
      <c r="AC47" s="8">
        <v>0</v>
      </c>
      <c r="AD47" s="8">
        <v>0</v>
      </c>
      <c r="AE47" s="8">
        <v>0</v>
      </c>
      <c r="AF47" s="9">
        <v>44964</v>
      </c>
      <c r="AG47" s="10" t="s">
        <v>189</v>
      </c>
      <c r="AH47" s="9">
        <v>44964</v>
      </c>
      <c r="AI47" s="10" t="s">
        <v>189</v>
      </c>
      <c r="AJ47" s="9">
        <v>44964</v>
      </c>
      <c r="AK47" s="5"/>
    </row>
    <row r="48" spans="1:37" ht="27" customHeight="1">
      <c r="A48" s="1">
        <v>45</v>
      </c>
      <c r="B48" s="5"/>
      <c r="C48" s="5"/>
      <c r="D48" s="5"/>
      <c r="E48" s="13" t="s">
        <v>248</v>
      </c>
      <c r="F48" s="38" t="s">
        <v>249</v>
      </c>
      <c r="G48" s="1"/>
      <c r="H48" s="14">
        <v>2</v>
      </c>
      <c r="I48" s="5"/>
      <c r="J48" s="1" t="s">
        <v>31</v>
      </c>
      <c r="K48" s="5"/>
      <c r="L48" s="6"/>
      <c r="M48" s="5"/>
      <c r="N48" s="15">
        <v>44964</v>
      </c>
      <c r="O48" s="8">
        <v>1</v>
      </c>
      <c r="P48" s="9">
        <v>44964</v>
      </c>
      <c r="Q48" s="8">
        <v>0</v>
      </c>
      <c r="R48" s="9">
        <v>44964</v>
      </c>
      <c r="S48" s="8">
        <v>0</v>
      </c>
      <c r="T48" s="9">
        <v>44964</v>
      </c>
      <c r="U48" s="8">
        <v>0</v>
      </c>
      <c r="V48" s="9">
        <v>44964</v>
      </c>
      <c r="W48" s="8">
        <v>0</v>
      </c>
      <c r="X48" s="9">
        <v>44964</v>
      </c>
      <c r="Y48" s="8">
        <v>0</v>
      </c>
      <c r="Z48" s="9">
        <v>44964</v>
      </c>
      <c r="AA48" s="8">
        <v>0</v>
      </c>
      <c r="AB48" s="9">
        <v>44964</v>
      </c>
      <c r="AC48" s="8">
        <v>0</v>
      </c>
      <c r="AD48" s="8">
        <v>0</v>
      </c>
      <c r="AE48" s="8">
        <v>0</v>
      </c>
      <c r="AF48" s="9">
        <v>44964</v>
      </c>
      <c r="AG48" s="10" t="s">
        <v>189</v>
      </c>
      <c r="AH48" s="9">
        <v>44964</v>
      </c>
      <c r="AI48" s="10" t="s">
        <v>189</v>
      </c>
      <c r="AJ48" s="9">
        <v>44964</v>
      </c>
      <c r="AK48" s="5"/>
    </row>
    <row r="49" spans="1:37" ht="27" hidden="1" customHeight="1">
      <c r="A49" s="1">
        <v>46</v>
      </c>
      <c r="B49" s="5"/>
      <c r="C49" s="5"/>
      <c r="D49" s="5"/>
      <c r="E49" s="13"/>
      <c r="F49" s="38" t="s">
        <v>222</v>
      </c>
      <c r="G49" s="1"/>
      <c r="H49" s="14">
        <v>0</v>
      </c>
      <c r="I49" s="5"/>
      <c r="J49" s="1"/>
      <c r="K49" s="5"/>
      <c r="L49" s="6"/>
      <c r="M49" s="5"/>
      <c r="N49" s="15">
        <v>44964</v>
      </c>
      <c r="O49" s="8">
        <v>0</v>
      </c>
      <c r="P49" s="9">
        <v>44964</v>
      </c>
      <c r="Q49" s="8">
        <v>0</v>
      </c>
      <c r="R49" s="9">
        <v>44964</v>
      </c>
      <c r="S49" s="8">
        <v>0</v>
      </c>
      <c r="T49" s="9">
        <v>44964</v>
      </c>
      <c r="U49" s="8">
        <v>0</v>
      </c>
      <c r="V49" s="9">
        <v>44964</v>
      </c>
      <c r="W49" s="8">
        <v>0</v>
      </c>
      <c r="X49" s="9">
        <v>44964</v>
      </c>
      <c r="Y49" s="8">
        <v>0</v>
      </c>
      <c r="Z49" s="9">
        <v>44964</v>
      </c>
      <c r="AA49" s="8">
        <v>0</v>
      </c>
      <c r="AB49" s="9">
        <v>44964</v>
      </c>
      <c r="AC49" s="8">
        <v>0</v>
      </c>
      <c r="AD49" s="8">
        <v>0</v>
      </c>
      <c r="AE49" s="8">
        <v>0</v>
      </c>
      <c r="AF49" s="9">
        <v>44964</v>
      </c>
      <c r="AG49" s="10" t="s">
        <v>189</v>
      </c>
      <c r="AH49" s="9">
        <v>44964</v>
      </c>
      <c r="AI49" s="10" t="s">
        <v>189</v>
      </c>
      <c r="AJ49" s="9">
        <v>44964</v>
      </c>
      <c r="AK49" s="5"/>
    </row>
    <row r="50" spans="1:37" ht="27" hidden="1" customHeight="1">
      <c r="A50" s="1">
        <v>47</v>
      </c>
      <c r="B50" s="5"/>
      <c r="C50" s="5"/>
      <c r="D50" s="5"/>
      <c r="E50" s="13" t="s">
        <v>250</v>
      </c>
      <c r="F50" s="38" t="s">
        <v>224</v>
      </c>
      <c r="G50" s="1"/>
      <c r="H50" s="14">
        <v>1</v>
      </c>
      <c r="I50" s="5"/>
      <c r="J50" s="1"/>
      <c r="K50" s="5"/>
      <c r="L50" s="6"/>
      <c r="M50" s="5"/>
      <c r="N50" s="15">
        <v>44964</v>
      </c>
      <c r="O50" s="8">
        <v>0</v>
      </c>
      <c r="P50" s="9">
        <v>44964</v>
      </c>
      <c r="Q50" s="8">
        <v>0</v>
      </c>
      <c r="R50" s="9">
        <v>44964</v>
      </c>
      <c r="S50" s="8">
        <v>0</v>
      </c>
      <c r="T50" s="9">
        <v>44964</v>
      </c>
      <c r="U50" s="8">
        <v>0</v>
      </c>
      <c r="V50" s="9">
        <v>44964</v>
      </c>
      <c r="W50" s="8">
        <v>0</v>
      </c>
      <c r="X50" s="9">
        <v>44964</v>
      </c>
      <c r="Y50" s="8">
        <v>0</v>
      </c>
      <c r="Z50" s="9">
        <v>44964</v>
      </c>
      <c r="AA50" s="8">
        <v>0</v>
      </c>
      <c r="AB50" s="9">
        <v>44964</v>
      </c>
      <c r="AC50" s="8">
        <v>0</v>
      </c>
      <c r="AD50" s="8">
        <v>0</v>
      </c>
      <c r="AE50" s="8">
        <v>0</v>
      </c>
      <c r="AF50" s="9">
        <v>44964</v>
      </c>
      <c r="AG50" s="10" t="s">
        <v>189</v>
      </c>
      <c r="AH50" s="9">
        <v>44964</v>
      </c>
      <c r="AI50" s="10" t="s">
        <v>189</v>
      </c>
      <c r="AJ50" s="9">
        <v>44964</v>
      </c>
      <c r="AK50" s="5"/>
    </row>
    <row r="51" spans="1:37" ht="27" hidden="1" customHeight="1">
      <c r="A51" s="1">
        <v>48</v>
      </c>
      <c r="B51" s="5"/>
      <c r="C51" s="5"/>
      <c r="D51" s="5"/>
      <c r="E51" s="13" t="s">
        <v>251</v>
      </c>
      <c r="F51" s="38" t="s">
        <v>224</v>
      </c>
      <c r="G51" s="1"/>
      <c r="H51" s="14">
        <v>1</v>
      </c>
      <c r="I51" s="5"/>
      <c r="J51" s="1"/>
      <c r="K51" s="5"/>
      <c r="L51" s="6"/>
      <c r="M51" s="5"/>
      <c r="N51" s="15">
        <v>44964</v>
      </c>
      <c r="O51" s="8">
        <v>0</v>
      </c>
      <c r="P51" s="9">
        <v>44964</v>
      </c>
      <c r="Q51" s="8">
        <v>0</v>
      </c>
      <c r="R51" s="9">
        <v>44964</v>
      </c>
      <c r="S51" s="8">
        <v>0</v>
      </c>
      <c r="T51" s="9">
        <v>44964</v>
      </c>
      <c r="U51" s="8">
        <v>0</v>
      </c>
      <c r="V51" s="9">
        <v>44964</v>
      </c>
      <c r="W51" s="8">
        <v>0</v>
      </c>
      <c r="X51" s="9">
        <v>44964</v>
      </c>
      <c r="Y51" s="8">
        <v>0</v>
      </c>
      <c r="Z51" s="9">
        <v>44964</v>
      </c>
      <c r="AA51" s="8">
        <v>0</v>
      </c>
      <c r="AB51" s="9">
        <v>44964</v>
      </c>
      <c r="AC51" s="8">
        <v>0</v>
      </c>
      <c r="AD51" s="8">
        <v>0</v>
      </c>
      <c r="AE51" s="8">
        <v>0</v>
      </c>
      <c r="AF51" s="9">
        <v>44964</v>
      </c>
      <c r="AG51" s="10" t="s">
        <v>189</v>
      </c>
      <c r="AH51" s="9">
        <v>44964</v>
      </c>
      <c r="AI51" s="10" t="s">
        <v>189</v>
      </c>
      <c r="AJ51" s="9">
        <v>44964</v>
      </c>
      <c r="AK51" s="5"/>
    </row>
    <row r="52" spans="1:37" ht="27" hidden="1" customHeight="1">
      <c r="A52" s="1">
        <v>49</v>
      </c>
      <c r="B52" s="5"/>
      <c r="C52" s="5"/>
      <c r="D52" s="5"/>
      <c r="E52" s="13"/>
      <c r="F52" s="38" t="s">
        <v>235</v>
      </c>
      <c r="G52" s="1"/>
      <c r="H52" s="14">
        <v>4</v>
      </c>
      <c r="I52" s="5"/>
      <c r="J52" s="1"/>
      <c r="K52" s="5"/>
      <c r="L52" s="6"/>
      <c r="M52" s="5"/>
      <c r="N52" s="15">
        <v>44964</v>
      </c>
      <c r="O52" s="8">
        <v>0</v>
      </c>
      <c r="P52" s="9">
        <v>44964</v>
      </c>
      <c r="Q52" s="8">
        <v>0</v>
      </c>
      <c r="R52" s="9">
        <v>44964</v>
      </c>
      <c r="S52" s="8">
        <v>0</v>
      </c>
      <c r="T52" s="9">
        <v>44964</v>
      </c>
      <c r="U52" s="8">
        <v>0</v>
      </c>
      <c r="V52" s="9">
        <v>44964</v>
      </c>
      <c r="W52" s="8">
        <v>0</v>
      </c>
      <c r="X52" s="9">
        <v>44964</v>
      </c>
      <c r="Y52" s="8">
        <v>0</v>
      </c>
      <c r="Z52" s="9">
        <v>44964</v>
      </c>
      <c r="AA52" s="8">
        <v>0</v>
      </c>
      <c r="AB52" s="9">
        <v>44964</v>
      </c>
      <c r="AC52" s="8">
        <v>0</v>
      </c>
      <c r="AD52" s="8">
        <v>0</v>
      </c>
      <c r="AE52" s="8">
        <v>0</v>
      </c>
      <c r="AF52" s="9">
        <v>44964</v>
      </c>
      <c r="AG52" s="10" t="s">
        <v>189</v>
      </c>
      <c r="AH52" s="9">
        <v>44964</v>
      </c>
      <c r="AI52" s="10" t="s">
        <v>189</v>
      </c>
      <c r="AJ52" s="9">
        <v>44964</v>
      </c>
      <c r="AK52" s="5"/>
    </row>
    <row r="53" spans="1:37" ht="27" hidden="1" customHeight="1">
      <c r="A53" s="1">
        <v>50</v>
      </c>
      <c r="B53" s="5"/>
      <c r="C53" s="5"/>
      <c r="D53" s="5"/>
      <c r="E53" s="13" t="s">
        <v>252</v>
      </c>
      <c r="F53" s="38" t="s">
        <v>237</v>
      </c>
      <c r="G53" s="1"/>
      <c r="H53" s="14">
        <v>6</v>
      </c>
      <c r="I53" s="5"/>
      <c r="J53" s="1"/>
      <c r="K53" s="5"/>
      <c r="L53" s="6"/>
      <c r="M53" s="5"/>
      <c r="N53" s="15">
        <v>44964</v>
      </c>
      <c r="O53" s="8">
        <v>0</v>
      </c>
      <c r="P53" s="9">
        <v>44964</v>
      </c>
      <c r="Q53" s="8">
        <v>0</v>
      </c>
      <c r="R53" s="9">
        <v>44964</v>
      </c>
      <c r="S53" s="8">
        <v>0</v>
      </c>
      <c r="T53" s="9">
        <v>44964</v>
      </c>
      <c r="U53" s="8">
        <v>0</v>
      </c>
      <c r="V53" s="9">
        <v>44964</v>
      </c>
      <c r="W53" s="8">
        <v>0</v>
      </c>
      <c r="X53" s="9">
        <v>44964</v>
      </c>
      <c r="Y53" s="8">
        <v>0</v>
      </c>
      <c r="Z53" s="9">
        <v>44964</v>
      </c>
      <c r="AA53" s="8">
        <v>0</v>
      </c>
      <c r="AB53" s="9">
        <v>44964</v>
      </c>
      <c r="AC53" s="8">
        <v>0</v>
      </c>
      <c r="AD53" s="8">
        <v>0</v>
      </c>
      <c r="AE53" s="8">
        <v>0</v>
      </c>
      <c r="AF53" s="9">
        <v>44964</v>
      </c>
      <c r="AG53" s="10" t="s">
        <v>189</v>
      </c>
      <c r="AH53" s="9">
        <v>44964</v>
      </c>
      <c r="AI53" s="10" t="s">
        <v>189</v>
      </c>
      <c r="AJ53" s="9">
        <v>44964</v>
      </c>
      <c r="AK53" s="5"/>
    </row>
    <row r="54" spans="1:37" ht="27" hidden="1" customHeight="1">
      <c r="A54" s="1">
        <v>51</v>
      </c>
      <c r="B54" s="5"/>
      <c r="C54" s="5"/>
      <c r="D54" s="5"/>
      <c r="E54" s="13" t="s">
        <v>253</v>
      </c>
      <c r="F54" s="38" t="s">
        <v>237</v>
      </c>
      <c r="G54" s="1"/>
      <c r="H54" s="14">
        <v>6</v>
      </c>
      <c r="I54" s="5"/>
      <c r="J54" s="1"/>
      <c r="K54" s="5"/>
      <c r="L54" s="6"/>
      <c r="M54" s="5"/>
      <c r="N54" s="15">
        <v>44964</v>
      </c>
      <c r="O54" s="8">
        <v>0</v>
      </c>
      <c r="P54" s="9">
        <v>44964</v>
      </c>
      <c r="Q54" s="8">
        <v>0</v>
      </c>
      <c r="R54" s="9">
        <v>44964</v>
      </c>
      <c r="S54" s="8">
        <v>0</v>
      </c>
      <c r="T54" s="9">
        <v>44964</v>
      </c>
      <c r="U54" s="8">
        <v>0</v>
      </c>
      <c r="V54" s="9">
        <v>44964</v>
      </c>
      <c r="W54" s="8">
        <v>0</v>
      </c>
      <c r="X54" s="9">
        <v>44964</v>
      </c>
      <c r="Y54" s="8">
        <v>0</v>
      </c>
      <c r="Z54" s="9">
        <v>44964</v>
      </c>
      <c r="AA54" s="8">
        <v>0</v>
      </c>
      <c r="AB54" s="9">
        <v>44964</v>
      </c>
      <c r="AC54" s="8">
        <v>0</v>
      </c>
      <c r="AD54" s="8">
        <v>0</v>
      </c>
      <c r="AE54" s="8">
        <v>0</v>
      </c>
      <c r="AF54" s="9">
        <v>44964</v>
      </c>
      <c r="AG54" s="10" t="s">
        <v>189</v>
      </c>
      <c r="AH54" s="9">
        <v>44964</v>
      </c>
      <c r="AI54" s="10" t="s">
        <v>189</v>
      </c>
      <c r="AJ54" s="9">
        <v>44964</v>
      </c>
      <c r="AK54" s="5"/>
    </row>
    <row r="55" spans="1:37" ht="27" hidden="1" customHeight="1">
      <c r="A55" s="1">
        <v>52</v>
      </c>
      <c r="B55" s="5"/>
      <c r="C55" s="5"/>
      <c r="D55" s="5"/>
      <c r="E55" s="13"/>
      <c r="F55" s="38" t="s">
        <v>208</v>
      </c>
      <c r="G55" s="1"/>
      <c r="H55" s="14">
        <v>4</v>
      </c>
      <c r="I55" s="5"/>
      <c r="J55" s="1"/>
      <c r="K55" s="5"/>
      <c r="L55" s="6"/>
      <c r="M55" s="5"/>
      <c r="N55" s="15">
        <v>44964</v>
      </c>
      <c r="O55" s="8">
        <v>0</v>
      </c>
      <c r="P55" s="9">
        <v>44964</v>
      </c>
      <c r="Q55" s="8">
        <v>0</v>
      </c>
      <c r="R55" s="9">
        <v>44964</v>
      </c>
      <c r="S55" s="8">
        <v>0</v>
      </c>
      <c r="T55" s="9">
        <v>44964</v>
      </c>
      <c r="U55" s="8">
        <v>0</v>
      </c>
      <c r="V55" s="9">
        <v>44964</v>
      </c>
      <c r="W55" s="8">
        <v>0</v>
      </c>
      <c r="X55" s="9">
        <v>44964</v>
      </c>
      <c r="Y55" s="8">
        <v>0</v>
      </c>
      <c r="Z55" s="9">
        <v>44964</v>
      </c>
      <c r="AA55" s="8">
        <v>0</v>
      </c>
      <c r="AB55" s="9">
        <v>44964</v>
      </c>
      <c r="AC55" s="8">
        <v>0</v>
      </c>
      <c r="AD55" s="8">
        <v>0</v>
      </c>
      <c r="AE55" s="8">
        <v>0</v>
      </c>
      <c r="AF55" s="9">
        <v>44964</v>
      </c>
      <c r="AG55" s="10" t="s">
        <v>189</v>
      </c>
      <c r="AH55" s="9">
        <v>44964</v>
      </c>
      <c r="AI55" s="10" t="s">
        <v>189</v>
      </c>
      <c r="AJ55" s="9">
        <v>44964</v>
      </c>
      <c r="AK55" s="5"/>
    </row>
    <row r="56" spans="1:37" ht="27" hidden="1" customHeight="1">
      <c r="A56" s="1">
        <v>53</v>
      </c>
      <c r="B56" s="5"/>
      <c r="C56" s="5"/>
      <c r="D56" s="5"/>
      <c r="E56" s="13" t="s">
        <v>254</v>
      </c>
      <c r="F56" s="38" t="s">
        <v>32</v>
      </c>
      <c r="G56" s="1"/>
      <c r="H56" s="14">
        <v>1</v>
      </c>
      <c r="I56" s="5"/>
      <c r="J56" s="1"/>
      <c r="K56" s="5"/>
      <c r="L56" s="6"/>
      <c r="M56" s="5"/>
      <c r="N56" s="15">
        <v>44964</v>
      </c>
      <c r="O56" s="8">
        <v>1</v>
      </c>
      <c r="P56" s="9">
        <v>44964</v>
      </c>
      <c r="Q56" s="8">
        <v>0</v>
      </c>
      <c r="R56" s="9">
        <v>44964</v>
      </c>
      <c r="S56" s="8">
        <v>0</v>
      </c>
      <c r="T56" s="9">
        <v>44964</v>
      </c>
      <c r="U56" s="8">
        <v>0</v>
      </c>
      <c r="V56" s="9">
        <v>44964</v>
      </c>
      <c r="W56" s="8">
        <v>0</v>
      </c>
      <c r="X56" s="9">
        <v>44964</v>
      </c>
      <c r="Y56" s="8">
        <v>0</v>
      </c>
      <c r="Z56" s="9">
        <v>44964</v>
      </c>
      <c r="AA56" s="8">
        <v>0</v>
      </c>
      <c r="AB56" s="9">
        <v>44964</v>
      </c>
      <c r="AC56" s="8">
        <v>0</v>
      </c>
      <c r="AD56" s="8">
        <v>0</v>
      </c>
      <c r="AE56" s="8">
        <v>0</v>
      </c>
      <c r="AF56" s="9">
        <v>44964</v>
      </c>
      <c r="AG56" s="10" t="s">
        <v>189</v>
      </c>
      <c r="AH56" s="9">
        <v>44964</v>
      </c>
      <c r="AI56" s="10" t="s">
        <v>189</v>
      </c>
      <c r="AJ56" s="9">
        <v>44964</v>
      </c>
      <c r="AK56" s="5"/>
    </row>
    <row r="57" spans="1:37" ht="27" customHeight="1">
      <c r="A57" s="1">
        <v>54</v>
      </c>
      <c r="B57" s="5"/>
      <c r="C57" s="5"/>
      <c r="D57" s="5"/>
      <c r="E57" s="13" t="s">
        <v>255</v>
      </c>
      <c r="F57" s="38" t="s">
        <v>202</v>
      </c>
      <c r="G57" s="1"/>
      <c r="H57" s="14">
        <v>1</v>
      </c>
      <c r="I57" s="5"/>
      <c r="J57" s="1" t="s">
        <v>31</v>
      </c>
      <c r="K57" s="5"/>
      <c r="L57" s="6"/>
      <c r="M57" s="5"/>
      <c r="N57" s="15">
        <v>44964</v>
      </c>
      <c r="O57" s="8">
        <v>1</v>
      </c>
      <c r="P57" s="9">
        <v>44964</v>
      </c>
      <c r="Q57" s="8">
        <v>0</v>
      </c>
      <c r="R57" s="9">
        <v>44964</v>
      </c>
      <c r="S57" s="8">
        <v>0</v>
      </c>
      <c r="T57" s="9">
        <v>44964</v>
      </c>
      <c r="U57" s="8">
        <v>0</v>
      </c>
      <c r="V57" s="9">
        <v>44964</v>
      </c>
      <c r="W57" s="8">
        <v>0</v>
      </c>
      <c r="X57" s="9">
        <v>44964</v>
      </c>
      <c r="Y57" s="8">
        <v>0</v>
      </c>
      <c r="Z57" s="9">
        <v>44964</v>
      </c>
      <c r="AA57" s="8">
        <v>0</v>
      </c>
      <c r="AB57" s="9">
        <v>44964</v>
      </c>
      <c r="AC57" s="8">
        <v>0</v>
      </c>
      <c r="AD57" s="8">
        <v>0</v>
      </c>
      <c r="AE57" s="8">
        <v>0</v>
      </c>
      <c r="AF57" s="9">
        <v>44964</v>
      </c>
      <c r="AG57" s="10" t="s">
        <v>189</v>
      </c>
      <c r="AH57" s="9">
        <v>44964</v>
      </c>
      <c r="AI57" s="10" t="s">
        <v>189</v>
      </c>
      <c r="AJ57" s="9">
        <v>44964</v>
      </c>
      <c r="AK57" s="5"/>
    </row>
    <row r="58" spans="1:37" ht="27" hidden="1" customHeight="1">
      <c r="A58" s="1">
        <v>55</v>
      </c>
      <c r="B58" s="5"/>
      <c r="C58" s="5"/>
      <c r="D58" s="5"/>
      <c r="E58" s="13" t="s">
        <v>256</v>
      </c>
      <c r="F58" s="38" t="s">
        <v>200</v>
      </c>
      <c r="G58" s="1"/>
      <c r="H58" s="14">
        <v>1</v>
      </c>
      <c r="I58" s="5"/>
      <c r="J58" s="1"/>
      <c r="K58" s="5"/>
      <c r="L58" s="6"/>
      <c r="M58" s="5"/>
      <c r="N58" s="15">
        <v>44964</v>
      </c>
      <c r="O58" s="8">
        <v>0</v>
      </c>
      <c r="P58" s="9">
        <v>44964</v>
      </c>
      <c r="Q58" s="8">
        <v>0</v>
      </c>
      <c r="R58" s="9">
        <v>44964</v>
      </c>
      <c r="S58" s="8">
        <v>0</v>
      </c>
      <c r="T58" s="9">
        <v>44964</v>
      </c>
      <c r="U58" s="8">
        <v>0</v>
      </c>
      <c r="V58" s="9">
        <v>44964</v>
      </c>
      <c r="W58" s="8">
        <v>0</v>
      </c>
      <c r="X58" s="9">
        <v>44964</v>
      </c>
      <c r="Y58" s="8">
        <v>0</v>
      </c>
      <c r="Z58" s="9">
        <v>44964</v>
      </c>
      <c r="AA58" s="8">
        <v>0</v>
      </c>
      <c r="AB58" s="9">
        <v>44964</v>
      </c>
      <c r="AC58" s="8">
        <v>0</v>
      </c>
      <c r="AD58" s="8">
        <v>0</v>
      </c>
      <c r="AE58" s="8">
        <v>0</v>
      </c>
      <c r="AF58" s="9">
        <v>44964</v>
      </c>
      <c r="AG58" s="10" t="s">
        <v>189</v>
      </c>
      <c r="AH58" s="9">
        <v>44964</v>
      </c>
      <c r="AI58" s="10" t="s">
        <v>189</v>
      </c>
      <c r="AJ58" s="9">
        <v>44964</v>
      </c>
      <c r="AK58" s="5"/>
    </row>
    <row r="59" spans="1:37" ht="27" hidden="1" customHeight="1">
      <c r="A59" s="1">
        <v>56</v>
      </c>
      <c r="B59" s="5"/>
      <c r="C59" s="5"/>
      <c r="D59" s="5"/>
      <c r="E59" s="13" t="s">
        <v>257</v>
      </c>
      <c r="F59" s="38" t="s">
        <v>216</v>
      </c>
      <c r="G59" s="1"/>
      <c r="H59" s="14">
        <v>1</v>
      </c>
      <c r="I59" s="5"/>
      <c r="J59" s="1"/>
      <c r="K59" s="5"/>
      <c r="L59" s="6"/>
      <c r="M59" s="5"/>
      <c r="N59" s="15">
        <v>44964</v>
      </c>
      <c r="O59" s="8">
        <v>0</v>
      </c>
      <c r="P59" s="9">
        <v>44964</v>
      </c>
      <c r="Q59" s="8">
        <v>0</v>
      </c>
      <c r="R59" s="9">
        <v>44964</v>
      </c>
      <c r="S59" s="8">
        <v>0</v>
      </c>
      <c r="T59" s="9">
        <v>44964</v>
      </c>
      <c r="U59" s="8">
        <v>0</v>
      </c>
      <c r="V59" s="9">
        <v>44964</v>
      </c>
      <c r="W59" s="8">
        <v>0</v>
      </c>
      <c r="X59" s="9">
        <v>44964</v>
      </c>
      <c r="Y59" s="8">
        <v>0</v>
      </c>
      <c r="Z59" s="9">
        <v>44964</v>
      </c>
      <c r="AA59" s="8">
        <v>0</v>
      </c>
      <c r="AB59" s="9">
        <v>44964</v>
      </c>
      <c r="AC59" s="8">
        <v>0</v>
      </c>
      <c r="AD59" s="8">
        <v>0</v>
      </c>
      <c r="AE59" s="8">
        <v>0</v>
      </c>
      <c r="AF59" s="9">
        <v>44964</v>
      </c>
      <c r="AG59" s="10" t="s">
        <v>189</v>
      </c>
      <c r="AH59" s="9">
        <v>44964</v>
      </c>
      <c r="AI59" s="10" t="s">
        <v>189</v>
      </c>
      <c r="AJ59" s="9">
        <v>44964</v>
      </c>
      <c r="AK59" s="5"/>
    </row>
    <row r="60" spans="1:37" ht="27" hidden="1" customHeight="1">
      <c r="A60" s="1">
        <v>57</v>
      </c>
      <c r="B60" s="5"/>
      <c r="C60" s="5"/>
      <c r="D60" s="5"/>
      <c r="E60" s="13" t="s">
        <v>258</v>
      </c>
      <c r="F60" s="38" t="s">
        <v>259</v>
      </c>
      <c r="G60" s="1"/>
      <c r="H60" s="14">
        <v>1</v>
      </c>
      <c r="I60" s="5"/>
      <c r="J60" s="1" t="s">
        <v>198</v>
      </c>
      <c r="K60" s="5"/>
      <c r="L60" s="6"/>
      <c r="M60" s="5"/>
      <c r="N60" s="15">
        <v>44996</v>
      </c>
      <c r="O60" s="8">
        <v>1</v>
      </c>
      <c r="P60" s="9">
        <v>44964</v>
      </c>
      <c r="Q60" s="8">
        <v>0</v>
      </c>
      <c r="R60" s="9">
        <v>44964</v>
      </c>
      <c r="S60" s="8">
        <v>0</v>
      </c>
      <c r="T60" s="9">
        <v>44964</v>
      </c>
      <c r="U60" s="8">
        <v>0</v>
      </c>
      <c r="V60" s="9">
        <v>44964</v>
      </c>
      <c r="W60" s="8">
        <v>0</v>
      </c>
      <c r="X60" s="9">
        <v>44964</v>
      </c>
      <c r="Y60" s="8">
        <v>0</v>
      </c>
      <c r="Z60" s="9">
        <v>44964</v>
      </c>
      <c r="AA60" s="8">
        <v>0</v>
      </c>
      <c r="AB60" s="9">
        <v>44964</v>
      </c>
      <c r="AC60" s="8">
        <v>0</v>
      </c>
      <c r="AD60" s="8">
        <v>0</v>
      </c>
      <c r="AE60" s="8">
        <v>0</v>
      </c>
      <c r="AF60" s="9">
        <v>44964</v>
      </c>
      <c r="AG60" s="10" t="s">
        <v>189</v>
      </c>
      <c r="AH60" s="9">
        <v>44964</v>
      </c>
      <c r="AI60" s="10" t="s">
        <v>189</v>
      </c>
      <c r="AJ60" s="9">
        <v>44964</v>
      </c>
      <c r="AK60" s="5"/>
    </row>
    <row r="61" spans="1:37" ht="27" hidden="1" customHeight="1">
      <c r="A61" s="1">
        <v>58</v>
      </c>
      <c r="B61" s="5"/>
      <c r="C61" s="5"/>
      <c r="D61" s="5"/>
      <c r="E61" s="13" t="s">
        <v>260</v>
      </c>
      <c r="F61" s="38" t="s">
        <v>224</v>
      </c>
      <c r="G61" s="1"/>
      <c r="H61" s="14">
        <v>1</v>
      </c>
      <c r="I61" s="5"/>
      <c r="J61" s="1"/>
      <c r="K61" s="5"/>
      <c r="L61" s="6"/>
      <c r="M61" s="5"/>
      <c r="N61" s="15">
        <v>44964</v>
      </c>
      <c r="O61" s="8">
        <v>0</v>
      </c>
      <c r="P61" s="9">
        <v>44964</v>
      </c>
      <c r="Q61" s="8">
        <v>0</v>
      </c>
      <c r="R61" s="9">
        <v>44964</v>
      </c>
      <c r="S61" s="8">
        <v>0</v>
      </c>
      <c r="T61" s="9">
        <v>44964</v>
      </c>
      <c r="U61" s="8">
        <v>0</v>
      </c>
      <c r="V61" s="9">
        <v>44964</v>
      </c>
      <c r="W61" s="8">
        <v>0</v>
      </c>
      <c r="X61" s="9">
        <v>44964</v>
      </c>
      <c r="Y61" s="8">
        <v>0</v>
      </c>
      <c r="Z61" s="9">
        <v>44964</v>
      </c>
      <c r="AA61" s="8">
        <v>0</v>
      </c>
      <c r="AB61" s="9">
        <v>44964</v>
      </c>
      <c r="AC61" s="8">
        <v>0</v>
      </c>
      <c r="AD61" s="8">
        <v>0</v>
      </c>
      <c r="AE61" s="8">
        <v>0</v>
      </c>
      <c r="AF61" s="9">
        <v>44964</v>
      </c>
      <c r="AG61" s="10" t="s">
        <v>189</v>
      </c>
      <c r="AH61" s="9">
        <v>44964</v>
      </c>
      <c r="AI61" s="10" t="s">
        <v>189</v>
      </c>
      <c r="AJ61" s="9">
        <v>44964</v>
      </c>
      <c r="AK61" s="5"/>
    </row>
    <row r="62" spans="1:37" ht="27" hidden="1" customHeight="1">
      <c r="A62" s="1">
        <v>59</v>
      </c>
      <c r="B62" s="5"/>
      <c r="C62" s="5"/>
      <c r="D62" s="5"/>
      <c r="E62" s="13" t="s">
        <v>261</v>
      </c>
      <c r="F62" s="38" t="s">
        <v>224</v>
      </c>
      <c r="G62" s="1"/>
      <c r="H62" s="14">
        <v>1</v>
      </c>
      <c r="I62" s="5"/>
      <c r="J62" s="1"/>
      <c r="K62" s="5"/>
      <c r="L62" s="6"/>
      <c r="M62" s="5"/>
      <c r="N62" s="15">
        <v>44964</v>
      </c>
      <c r="O62" s="8">
        <v>0</v>
      </c>
      <c r="P62" s="9">
        <v>44964</v>
      </c>
      <c r="Q62" s="8">
        <v>0</v>
      </c>
      <c r="R62" s="9">
        <v>44964</v>
      </c>
      <c r="S62" s="8">
        <v>0</v>
      </c>
      <c r="T62" s="9">
        <v>44964</v>
      </c>
      <c r="U62" s="8">
        <v>0</v>
      </c>
      <c r="V62" s="9">
        <v>44964</v>
      </c>
      <c r="W62" s="8">
        <v>0</v>
      </c>
      <c r="X62" s="9">
        <v>44964</v>
      </c>
      <c r="Y62" s="8">
        <v>0</v>
      </c>
      <c r="Z62" s="9">
        <v>44964</v>
      </c>
      <c r="AA62" s="8">
        <v>0</v>
      </c>
      <c r="AB62" s="9">
        <v>44964</v>
      </c>
      <c r="AC62" s="8">
        <v>0</v>
      </c>
      <c r="AD62" s="8">
        <v>0</v>
      </c>
      <c r="AE62" s="8">
        <v>0</v>
      </c>
      <c r="AF62" s="9">
        <v>44964</v>
      </c>
      <c r="AG62" s="10" t="s">
        <v>189</v>
      </c>
      <c r="AH62" s="9">
        <v>44964</v>
      </c>
      <c r="AI62" s="10" t="s">
        <v>189</v>
      </c>
      <c r="AJ62" s="9">
        <v>44964</v>
      </c>
      <c r="AK62" s="5"/>
    </row>
    <row r="63" spans="1:37" ht="27" hidden="1" customHeight="1">
      <c r="A63" s="1">
        <v>60</v>
      </c>
      <c r="B63" s="5"/>
      <c r="C63" s="5"/>
      <c r="D63" s="5"/>
      <c r="E63" s="13" t="s">
        <v>262</v>
      </c>
      <c r="F63" s="38" t="s">
        <v>224</v>
      </c>
      <c r="G63" s="1"/>
      <c r="H63" s="14">
        <v>1</v>
      </c>
      <c r="I63" s="5"/>
      <c r="J63" s="1"/>
      <c r="K63" s="5"/>
      <c r="L63" s="6"/>
      <c r="M63" s="5"/>
      <c r="N63" s="15">
        <v>44964</v>
      </c>
      <c r="O63" s="8">
        <v>0</v>
      </c>
      <c r="P63" s="9">
        <v>44964</v>
      </c>
      <c r="Q63" s="8">
        <v>0</v>
      </c>
      <c r="R63" s="9">
        <v>44964</v>
      </c>
      <c r="S63" s="8">
        <v>0</v>
      </c>
      <c r="T63" s="9">
        <v>44964</v>
      </c>
      <c r="U63" s="8">
        <v>0</v>
      </c>
      <c r="V63" s="9">
        <v>44964</v>
      </c>
      <c r="W63" s="8">
        <v>0</v>
      </c>
      <c r="X63" s="9">
        <v>44964</v>
      </c>
      <c r="Y63" s="8">
        <v>0</v>
      </c>
      <c r="Z63" s="9">
        <v>44964</v>
      </c>
      <c r="AA63" s="8">
        <v>0</v>
      </c>
      <c r="AB63" s="9">
        <v>44964</v>
      </c>
      <c r="AC63" s="8">
        <v>0</v>
      </c>
      <c r="AD63" s="8">
        <v>0</v>
      </c>
      <c r="AE63" s="8">
        <v>0</v>
      </c>
      <c r="AF63" s="9">
        <v>44964</v>
      </c>
      <c r="AG63" s="10" t="s">
        <v>189</v>
      </c>
      <c r="AH63" s="9">
        <v>44964</v>
      </c>
      <c r="AI63" s="10" t="s">
        <v>189</v>
      </c>
      <c r="AJ63" s="9">
        <v>44964</v>
      </c>
      <c r="AK63" s="5"/>
    </row>
    <row r="64" spans="1:37" ht="27" hidden="1" customHeight="1">
      <c r="A64" s="1">
        <v>61</v>
      </c>
      <c r="B64" s="5"/>
      <c r="C64" s="5"/>
      <c r="D64" s="5"/>
      <c r="E64" s="13" t="s">
        <v>263</v>
      </c>
      <c r="F64" s="38" t="s">
        <v>224</v>
      </c>
      <c r="G64" s="1"/>
      <c r="H64" s="14">
        <v>1</v>
      </c>
      <c r="I64" s="5"/>
      <c r="J64" s="1"/>
      <c r="K64" s="5"/>
      <c r="L64" s="6"/>
      <c r="M64" s="5"/>
      <c r="N64" s="15">
        <v>44964</v>
      </c>
      <c r="O64" s="8">
        <v>0</v>
      </c>
      <c r="P64" s="9">
        <v>44964</v>
      </c>
      <c r="Q64" s="8">
        <v>0</v>
      </c>
      <c r="R64" s="9">
        <v>44964</v>
      </c>
      <c r="S64" s="8">
        <v>0</v>
      </c>
      <c r="T64" s="9">
        <v>44964</v>
      </c>
      <c r="U64" s="8">
        <v>0</v>
      </c>
      <c r="V64" s="9">
        <v>44964</v>
      </c>
      <c r="W64" s="8">
        <v>0</v>
      </c>
      <c r="X64" s="9">
        <v>44964</v>
      </c>
      <c r="Y64" s="8">
        <v>0</v>
      </c>
      <c r="Z64" s="9">
        <v>44964</v>
      </c>
      <c r="AA64" s="8">
        <v>0</v>
      </c>
      <c r="AB64" s="9">
        <v>44964</v>
      </c>
      <c r="AC64" s="8">
        <v>0</v>
      </c>
      <c r="AD64" s="8">
        <v>0</v>
      </c>
      <c r="AE64" s="8">
        <v>0</v>
      </c>
      <c r="AF64" s="9">
        <v>44964</v>
      </c>
      <c r="AG64" s="10" t="s">
        <v>189</v>
      </c>
      <c r="AH64" s="9">
        <v>44964</v>
      </c>
      <c r="AI64" s="10" t="s">
        <v>189</v>
      </c>
      <c r="AJ64" s="9">
        <v>44964</v>
      </c>
      <c r="AK64" s="5"/>
    </row>
    <row r="65" spans="1:37" ht="27" hidden="1" customHeight="1">
      <c r="A65" s="1">
        <v>62</v>
      </c>
      <c r="B65" s="5"/>
      <c r="C65" s="5"/>
      <c r="D65" s="5"/>
      <c r="E65" s="13"/>
      <c r="F65" s="38" t="s">
        <v>208</v>
      </c>
      <c r="G65" s="1"/>
      <c r="H65" s="14">
        <v>3</v>
      </c>
      <c r="I65" s="5"/>
      <c r="J65" s="1"/>
      <c r="K65" s="5"/>
      <c r="L65" s="6"/>
      <c r="M65" s="5"/>
      <c r="N65" s="15">
        <v>44964</v>
      </c>
      <c r="O65" s="8">
        <v>0</v>
      </c>
      <c r="P65" s="9">
        <v>44964</v>
      </c>
      <c r="Q65" s="8">
        <v>0</v>
      </c>
      <c r="R65" s="9">
        <v>44964</v>
      </c>
      <c r="S65" s="8">
        <v>0</v>
      </c>
      <c r="T65" s="9">
        <v>44964</v>
      </c>
      <c r="U65" s="8">
        <v>0</v>
      </c>
      <c r="V65" s="9">
        <v>44964</v>
      </c>
      <c r="W65" s="8">
        <v>0</v>
      </c>
      <c r="X65" s="9">
        <v>44964</v>
      </c>
      <c r="Y65" s="8">
        <v>0</v>
      </c>
      <c r="Z65" s="9">
        <v>44964</v>
      </c>
      <c r="AA65" s="8">
        <v>0</v>
      </c>
      <c r="AB65" s="9">
        <v>44964</v>
      </c>
      <c r="AC65" s="8">
        <v>0</v>
      </c>
      <c r="AD65" s="8">
        <v>0</v>
      </c>
      <c r="AE65" s="8">
        <v>0</v>
      </c>
      <c r="AF65" s="9">
        <v>44964</v>
      </c>
      <c r="AG65" s="10" t="s">
        <v>189</v>
      </c>
      <c r="AH65" s="9">
        <v>44964</v>
      </c>
      <c r="AI65" s="10" t="s">
        <v>189</v>
      </c>
      <c r="AJ65" s="9">
        <v>44964</v>
      </c>
      <c r="AK65" s="5"/>
    </row>
    <row r="66" spans="1:37" ht="27" customHeight="1">
      <c r="A66" s="1">
        <v>63</v>
      </c>
      <c r="B66" s="5"/>
      <c r="C66" s="5"/>
      <c r="D66" s="5"/>
      <c r="E66" s="13" t="s">
        <v>264</v>
      </c>
      <c r="F66" s="38" t="s">
        <v>202</v>
      </c>
      <c r="G66" s="1"/>
      <c r="H66" s="14">
        <v>1</v>
      </c>
      <c r="I66" s="5"/>
      <c r="J66" s="1" t="s">
        <v>31</v>
      </c>
      <c r="K66" s="5"/>
      <c r="L66" s="6"/>
      <c r="M66" s="5"/>
      <c r="N66" s="15">
        <v>44964</v>
      </c>
      <c r="O66" s="8">
        <v>1</v>
      </c>
      <c r="P66" s="9">
        <v>44964</v>
      </c>
      <c r="Q66" s="8">
        <v>0</v>
      </c>
      <c r="R66" s="9">
        <v>44964</v>
      </c>
      <c r="S66" s="8">
        <v>0</v>
      </c>
      <c r="T66" s="9">
        <v>44964</v>
      </c>
      <c r="U66" s="8">
        <v>0</v>
      </c>
      <c r="V66" s="9">
        <v>44964</v>
      </c>
      <c r="W66" s="8">
        <v>0</v>
      </c>
      <c r="X66" s="9">
        <v>44964</v>
      </c>
      <c r="Y66" s="8">
        <v>0</v>
      </c>
      <c r="Z66" s="9">
        <v>44964</v>
      </c>
      <c r="AA66" s="8">
        <v>0</v>
      </c>
      <c r="AB66" s="9">
        <v>44964</v>
      </c>
      <c r="AC66" s="8">
        <v>0</v>
      </c>
      <c r="AD66" s="8">
        <v>0</v>
      </c>
      <c r="AE66" s="8">
        <v>0</v>
      </c>
      <c r="AF66" s="9">
        <v>44964</v>
      </c>
      <c r="AG66" s="10" t="s">
        <v>189</v>
      </c>
      <c r="AH66" s="9">
        <v>44964</v>
      </c>
      <c r="AI66" s="10" t="s">
        <v>189</v>
      </c>
      <c r="AJ66" s="9">
        <v>44964</v>
      </c>
      <c r="AK66" s="5"/>
    </row>
    <row r="67" spans="1:37" ht="27" hidden="1" customHeight="1">
      <c r="A67" s="1">
        <v>64</v>
      </c>
      <c r="B67" s="5"/>
      <c r="C67" s="5"/>
      <c r="D67" s="5"/>
      <c r="E67" s="13" t="s">
        <v>265</v>
      </c>
      <c r="F67" s="38" t="s">
        <v>200</v>
      </c>
      <c r="G67" s="1"/>
      <c r="H67" s="14">
        <v>1</v>
      </c>
      <c r="I67" s="5"/>
      <c r="J67" s="1"/>
      <c r="K67" s="5"/>
      <c r="L67" s="6"/>
      <c r="M67" s="5"/>
      <c r="N67" s="15">
        <v>44964</v>
      </c>
      <c r="O67" s="8">
        <v>0</v>
      </c>
      <c r="P67" s="9">
        <v>44964</v>
      </c>
      <c r="Q67" s="8">
        <v>0</v>
      </c>
      <c r="R67" s="9">
        <v>44964</v>
      </c>
      <c r="S67" s="8">
        <v>0</v>
      </c>
      <c r="T67" s="9">
        <v>44964</v>
      </c>
      <c r="U67" s="8">
        <v>0</v>
      </c>
      <c r="V67" s="9">
        <v>44964</v>
      </c>
      <c r="W67" s="8">
        <v>0</v>
      </c>
      <c r="X67" s="9">
        <v>44964</v>
      </c>
      <c r="Y67" s="8">
        <v>0</v>
      </c>
      <c r="Z67" s="9">
        <v>44964</v>
      </c>
      <c r="AA67" s="8">
        <v>0</v>
      </c>
      <c r="AB67" s="9">
        <v>44964</v>
      </c>
      <c r="AC67" s="8">
        <v>0</v>
      </c>
      <c r="AD67" s="8">
        <v>0</v>
      </c>
      <c r="AE67" s="8">
        <v>0</v>
      </c>
      <c r="AF67" s="9">
        <v>44964</v>
      </c>
      <c r="AG67" s="10" t="s">
        <v>189</v>
      </c>
      <c r="AH67" s="9">
        <v>44964</v>
      </c>
      <c r="AI67" s="10" t="s">
        <v>189</v>
      </c>
      <c r="AJ67" s="9">
        <v>44964</v>
      </c>
      <c r="AK67" s="5"/>
    </row>
    <row r="68" spans="1:37" ht="27" hidden="1" customHeight="1">
      <c r="A68" s="1">
        <v>65</v>
      </c>
      <c r="B68" s="5"/>
      <c r="C68" s="5"/>
      <c r="D68" s="5"/>
      <c r="E68" s="13"/>
      <c r="F68" s="38" t="s">
        <v>208</v>
      </c>
      <c r="G68" s="1"/>
      <c r="H68" s="14">
        <v>1</v>
      </c>
      <c r="I68" s="5"/>
      <c r="J68" s="1"/>
      <c r="K68" s="5"/>
      <c r="L68" s="6"/>
      <c r="M68" s="5"/>
      <c r="N68" s="15">
        <v>44964</v>
      </c>
      <c r="O68" s="8">
        <v>0</v>
      </c>
      <c r="P68" s="9">
        <v>44964</v>
      </c>
      <c r="Q68" s="8">
        <v>0</v>
      </c>
      <c r="R68" s="9">
        <v>44964</v>
      </c>
      <c r="S68" s="8">
        <v>0</v>
      </c>
      <c r="T68" s="9">
        <v>44964</v>
      </c>
      <c r="U68" s="8">
        <v>0</v>
      </c>
      <c r="V68" s="9">
        <v>44964</v>
      </c>
      <c r="W68" s="8">
        <v>0</v>
      </c>
      <c r="X68" s="9">
        <v>44964</v>
      </c>
      <c r="Y68" s="8">
        <v>0</v>
      </c>
      <c r="Z68" s="9">
        <v>44964</v>
      </c>
      <c r="AA68" s="8">
        <v>0</v>
      </c>
      <c r="AB68" s="9">
        <v>44964</v>
      </c>
      <c r="AC68" s="8">
        <v>0</v>
      </c>
      <c r="AD68" s="8">
        <v>0</v>
      </c>
      <c r="AE68" s="8">
        <v>0</v>
      </c>
      <c r="AF68" s="9">
        <v>44964</v>
      </c>
      <c r="AG68" s="10" t="s">
        <v>189</v>
      </c>
      <c r="AH68" s="9">
        <v>44964</v>
      </c>
      <c r="AI68" s="10" t="s">
        <v>189</v>
      </c>
      <c r="AJ68" s="9">
        <v>44964</v>
      </c>
      <c r="AK68" s="5"/>
    </row>
    <row r="69" spans="1:37" ht="27" hidden="1" customHeight="1">
      <c r="A69" s="1">
        <v>66</v>
      </c>
      <c r="B69" s="5"/>
      <c r="C69" s="5"/>
      <c r="D69" s="5"/>
      <c r="E69" s="13" t="s">
        <v>266</v>
      </c>
      <c r="F69" s="38" t="s">
        <v>267</v>
      </c>
      <c r="G69" s="1"/>
      <c r="H69" s="14">
        <v>1</v>
      </c>
      <c r="I69" s="5"/>
      <c r="J69" s="1" t="s">
        <v>198</v>
      </c>
      <c r="K69" s="5"/>
      <c r="L69" s="6"/>
      <c r="M69" s="5"/>
      <c r="N69" s="15">
        <v>44996</v>
      </c>
      <c r="O69" s="8">
        <v>1</v>
      </c>
      <c r="P69" s="9">
        <v>44964</v>
      </c>
      <c r="Q69" s="8">
        <v>0</v>
      </c>
      <c r="R69" s="9">
        <v>44964</v>
      </c>
      <c r="S69" s="8">
        <v>0</v>
      </c>
      <c r="T69" s="9">
        <v>44964</v>
      </c>
      <c r="U69" s="8">
        <v>0</v>
      </c>
      <c r="V69" s="9">
        <v>44964</v>
      </c>
      <c r="W69" s="8">
        <v>0</v>
      </c>
      <c r="X69" s="9">
        <v>44964</v>
      </c>
      <c r="Y69" s="8">
        <v>0</v>
      </c>
      <c r="Z69" s="9">
        <v>44964</v>
      </c>
      <c r="AA69" s="8">
        <v>0</v>
      </c>
      <c r="AB69" s="9">
        <v>44964</v>
      </c>
      <c r="AC69" s="8">
        <v>0</v>
      </c>
      <c r="AD69" s="8">
        <v>0</v>
      </c>
      <c r="AE69" s="8">
        <v>0</v>
      </c>
      <c r="AF69" s="9">
        <v>44964</v>
      </c>
      <c r="AG69" s="10" t="s">
        <v>189</v>
      </c>
      <c r="AH69" s="9">
        <v>44964</v>
      </c>
      <c r="AI69" s="10" t="s">
        <v>189</v>
      </c>
      <c r="AJ69" s="9">
        <v>44964</v>
      </c>
      <c r="AK69" s="5"/>
    </row>
    <row r="70" spans="1:37" ht="27" hidden="1" customHeight="1">
      <c r="A70" s="1">
        <v>67</v>
      </c>
      <c r="B70" s="5"/>
      <c r="C70" s="5"/>
      <c r="D70" s="5"/>
      <c r="E70" s="13" t="s">
        <v>268</v>
      </c>
      <c r="F70" s="38" t="s">
        <v>269</v>
      </c>
      <c r="G70" s="1"/>
      <c r="H70" s="14">
        <v>1</v>
      </c>
      <c r="I70" s="5"/>
      <c r="J70" s="1"/>
      <c r="K70" s="5"/>
      <c r="L70" s="6"/>
      <c r="M70" s="5"/>
      <c r="N70" s="15">
        <v>44964</v>
      </c>
      <c r="O70" s="8">
        <v>0</v>
      </c>
      <c r="P70" s="9">
        <v>44964</v>
      </c>
      <c r="Q70" s="8">
        <v>0</v>
      </c>
      <c r="R70" s="9">
        <v>44964</v>
      </c>
      <c r="S70" s="8">
        <v>0</v>
      </c>
      <c r="T70" s="9">
        <v>44964</v>
      </c>
      <c r="U70" s="8">
        <v>0</v>
      </c>
      <c r="V70" s="9">
        <v>44964</v>
      </c>
      <c r="W70" s="8">
        <v>0</v>
      </c>
      <c r="X70" s="9">
        <v>44964</v>
      </c>
      <c r="Y70" s="8">
        <v>0</v>
      </c>
      <c r="Z70" s="9">
        <v>44964</v>
      </c>
      <c r="AA70" s="8">
        <v>0</v>
      </c>
      <c r="AB70" s="9">
        <v>44964</v>
      </c>
      <c r="AC70" s="8">
        <v>0</v>
      </c>
      <c r="AD70" s="8">
        <v>0</v>
      </c>
      <c r="AE70" s="8">
        <v>0</v>
      </c>
      <c r="AF70" s="9">
        <v>44964</v>
      </c>
      <c r="AG70" s="10" t="s">
        <v>189</v>
      </c>
      <c r="AH70" s="9">
        <v>44964</v>
      </c>
      <c r="AI70" s="10" t="s">
        <v>189</v>
      </c>
      <c r="AJ70" s="9">
        <v>44964</v>
      </c>
      <c r="AK70" s="5"/>
    </row>
    <row r="71" spans="1:37" ht="27" hidden="1" customHeight="1">
      <c r="A71" s="1">
        <v>68</v>
      </c>
      <c r="B71" s="5"/>
      <c r="C71" s="5"/>
      <c r="D71" s="5"/>
      <c r="E71" s="13"/>
      <c r="F71" s="38" t="s">
        <v>208</v>
      </c>
      <c r="G71" s="1"/>
      <c r="H71" s="14">
        <v>1</v>
      </c>
      <c r="I71" s="5"/>
      <c r="J71" s="1"/>
      <c r="K71" s="5"/>
      <c r="L71" s="6"/>
      <c r="M71" s="5"/>
      <c r="N71" s="15">
        <v>44964</v>
      </c>
      <c r="O71" s="8">
        <v>0</v>
      </c>
      <c r="P71" s="9">
        <v>44964</v>
      </c>
      <c r="Q71" s="8">
        <v>0</v>
      </c>
      <c r="R71" s="9">
        <v>44964</v>
      </c>
      <c r="S71" s="8">
        <v>0</v>
      </c>
      <c r="T71" s="9">
        <v>44964</v>
      </c>
      <c r="U71" s="8">
        <v>0</v>
      </c>
      <c r="V71" s="9">
        <v>44964</v>
      </c>
      <c r="W71" s="8">
        <v>0</v>
      </c>
      <c r="X71" s="9">
        <v>44964</v>
      </c>
      <c r="Y71" s="8">
        <v>0</v>
      </c>
      <c r="Z71" s="9">
        <v>44964</v>
      </c>
      <c r="AA71" s="8">
        <v>0</v>
      </c>
      <c r="AB71" s="9">
        <v>44964</v>
      </c>
      <c r="AC71" s="8">
        <v>0</v>
      </c>
      <c r="AD71" s="8">
        <v>0</v>
      </c>
      <c r="AE71" s="8">
        <v>0</v>
      </c>
      <c r="AF71" s="9">
        <v>44964</v>
      </c>
      <c r="AG71" s="10" t="s">
        <v>189</v>
      </c>
      <c r="AH71" s="9">
        <v>44964</v>
      </c>
      <c r="AI71" s="10" t="s">
        <v>189</v>
      </c>
      <c r="AJ71" s="9">
        <v>44964</v>
      </c>
      <c r="AK71" s="5"/>
    </row>
    <row r="72" spans="1:37" ht="27" customHeight="1">
      <c r="A72" s="1">
        <v>69</v>
      </c>
      <c r="B72" s="5"/>
      <c r="C72" s="5"/>
      <c r="D72" s="5"/>
      <c r="E72" s="13" t="s">
        <v>270</v>
      </c>
      <c r="F72" s="38" t="s">
        <v>271</v>
      </c>
      <c r="G72" s="1"/>
      <c r="H72" s="14">
        <v>1</v>
      </c>
      <c r="I72" s="5"/>
      <c r="J72" s="1" t="s">
        <v>31</v>
      </c>
      <c r="K72" s="5"/>
      <c r="L72" s="6"/>
      <c r="M72" s="5"/>
      <c r="N72" s="15">
        <v>44964</v>
      </c>
      <c r="O72" s="8">
        <v>1</v>
      </c>
      <c r="P72" s="9">
        <v>44964</v>
      </c>
      <c r="Q72" s="8">
        <v>0</v>
      </c>
      <c r="R72" s="9">
        <v>44964</v>
      </c>
      <c r="S72" s="8">
        <v>0</v>
      </c>
      <c r="T72" s="9">
        <v>44964</v>
      </c>
      <c r="U72" s="8">
        <v>0</v>
      </c>
      <c r="V72" s="9">
        <v>44964</v>
      </c>
      <c r="W72" s="8">
        <v>0</v>
      </c>
      <c r="X72" s="9">
        <v>44964</v>
      </c>
      <c r="Y72" s="8">
        <v>0</v>
      </c>
      <c r="Z72" s="9">
        <v>44964</v>
      </c>
      <c r="AA72" s="8">
        <v>0</v>
      </c>
      <c r="AB72" s="9">
        <v>44964</v>
      </c>
      <c r="AC72" s="8">
        <v>0</v>
      </c>
      <c r="AD72" s="8">
        <v>0</v>
      </c>
      <c r="AE72" s="8">
        <v>0</v>
      </c>
      <c r="AF72" s="9">
        <v>44964</v>
      </c>
      <c r="AG72" s="10" t="s">
        <v>189</v>
      </c>
      <c r="AH72" s="9">
        <v>44964</v>
      </c>
      <c r="AI72" s="10" t="s">
        <v>189</v>
      </c>
      <c r="AJ72" s="9">
        <v>44964</v>
      </c>
      <c r="AK72" s="5"/>
    </row>
    <row r="73" spans="1:37" ht="27" customHeight="1">
      <c r="A73" s="1">
        <v>70</v>
      </c>
      <c r="B73" s="5"/>
      <c r="C73" s="5"/>
      <c r="D73" s="5"/>
      <c r="E73" s="13" t="s">
        <v>272</v>
      </c>
      <c r="F73" s="38" t="s">
        <v>211</v>
      </c>
      <c r="G73" s="1"/>
      <c r="H73" s="14">
        <v>1</v>
      </c>
      <c r="I73" s="5"/>
      <c r="J73" s="1" t="s">
        <v>30</v>
      </c>
      <c r="K73" s="5"/>
      <c r="L73" s="6"/>
      <c r="M73" s="5"/>
      <c r="N73" s="15">
        <v>44964</v>
      </c>
      <c r="O73" s="8">
        <v>1</v>
      </c>
      <c r="P73" s="9">
        <v>44964</v>
      </c>
      <c r="Q73" s="8">
        <v>0</v>
      </c>
      <c r="R73" s="9">
        <v>44964</v>
      </c>
      <c r="S73" s="8">
        <v>0</v>
      </c>
      <c r="T73" s="9">
        <v>44964</v>
      </c>
      <c r="U73" s="8">
        <v>0</v>
      </c>
      <c r="V73" s="9">
        <v>44964</v>
      </c>
      <c r="W73" s="8">
        <v>0</v>
      </c>
      <c r="X73" s="9">
        <v>44964</v>
      </c>
      <c r="Y73" s="8">
        <v>0</v>
      </c>
      <c r="Z73" s="9">
        <v>44964</v>
      </c>
      <c r="AA73" s="8">
        <v>0</v>
      </c>
      <c r="AB73" s="9">
        <v>44964</v>
      </c>
      <c r="AC73" s="8">
        <v>0</v>
      </c>
      <c r="AD73" s="8">
        <v>0</v>
      </c>
      <c r="AE73" s="8">
        <v>0</v>
      </c>
      <c r="AF73" s="9">
        <v>44964</v>
      </c>
      <c r="AG73" s="10" t="s">
        <v>189</v>
      </c>
      <c r="AH73" s="9">
        <v>44964</v>
      </c>
      <c r="AI73" s="10" t="s">
        <v>189</v>
      </c>
      <c r="AJ73" s="9">
        <v>44964</v>
      </c>
      <c r="AK73" s="5"/>
    </row>
    <row r="74" spans="1:37" ht="27" hidden="1" customHeight="1">
      <c r="A74" s="1">
        <v>71</v>
      </c>
      <c r="B74" s="5"/>
      <c r="C74" s="5"/>
      <c r="D74" s="5"/>
      <c r="E74" s="13" t="s">
        <v>273</v>
      </c>
      <c r="F74" s="38" t="s">
        <v>274</v>
      </c>
      <c r="G74" s="1"/>
      <c r="H74" s="14">
        <v>1</v>
      </c>
      <c r="I74" s="5"/>
      <c r="J74" s="1"/>
      <c r="K74" s="5"/>
      <c r="L74" s="6"/>
      <c r="M74" s="5"/>
      <c r="N74" s="15">
        <v>44964</v>
      </c>
      <c r="O74" s="8">
        <v>0</v>
      </c>
      <c r="P74" s="9">
        <v>44964</v>
      </c>
      <c r="Q74" s="8">
        <v>0</v>
      </c>
      <c r="R74" s="9">
        <v>44964</v>
      </c>
      <c r="S74" s="8">
        <v>0</v>
      </c>
      <c r="T74" s="9">
        <v>44964</v>
      </c>
      <c r="U74" s="8">
        <v>0</v>
      </c>
      <c r="V74" s="9">
        <v>44964</v>
      </c>
      <c r="W74" s="8">
        <v>0</v>
      </c>
      <c r="X74" s="9">
        <v>44964</v>
      </c>
      <c r="Y74" s="8">
        <v>0</v>
      </c>
      <c r="Z74" s="9">
        <v>44964</v>
      </c>
      <c r="AA74" s="8">
        <v>0</v>
      </c>
      <c r="AB74" s="9">
        <v>44964</v>
      </c>
      <c r="AC74" s="8">
        <v>0</v>
      </c>
      <c r="AD74" s="8">
        <v>0</v>
      </c>
      <c r="AE74" s="8">
        <v>0</v>
      </c>
      <c r="AF74" s="9">
        <v>44964</v>
      </c>
      <c r="AG74" s="10" t="s">
        <v>189</v>
      </c>
      <c r="AH74" s="9">
        <v>44964</v>
      </c>
      <c r="AI74" s="10" t="s">
        <v>189</v>
      </c>
      <c r="AJ74" s="9">
        <v>44964</v>
      </c>
      <c r="AK74" s="5"/>
    </row>
    <row r="75" spans="1:37" ht="27" hidden="1" customHeight="1">
      <c r="A75" s="1">
        <v>72</v>
      </c>
      <c r="B75" s="5"/>
      <c r="C75" s="5"/>
      <c r="D75" s="5"/>
      <c r="E75" s="13"/>
      <c r="F75" s="38" t="s">
        <v>208</v>
      </c>
      <c r="G75" s="1"/>
      <c r="H75" s="14">
        <v>1</v>
      </c>
      <c r="I75" s="5"/>
      <c r="J75" s="1"/>
      <c r="K75" s="5"/>
      <c r="L75" s="6"/>
      <c r="M75" s="5"/>
      <c r="N75" s="15">
        <v>44964</v>
      </c>
      <c r="O75" s="8">
        <v>0</v>
      </c>
      <c r="P75" s="9">
        <v>44964</v>
      </c>
      <c r="Q75" s="8">
        <v>0</v>
      </c>
      <c r="R75" s="9">
        <v>44964</v>
      </c>
      <c r="S75" s="8">
        <v>0</v>
      </c>
      <c r="T75" s="9">
        <v>44964</v>
      </c>
      <c r="U75" s="8">
        <v>0</v>
      </c>
      <c r="V75" s="9">
        <v>44964</v>
      </c>
      <c r="W75" s="8">
        <v>0</v>
      </c>
      <c r="X75" s="9">
        <v>44964</v>
      </c>
      <c r="Y75" s="8">
        <v>0</v>
      </c>
      <c r="Z75" s="9">
        <v>44964</v>
      </c>
      <c r="AA75" s="8">
        <v>0</v>
      </c>
      <c r="AB75" s="9">
        <v>44964</v>
      </c>
      <c r="AC75" s="8">
        <v>0</v>
      </c>
      <c r="AD75" s="8">
        <v>0</v>
      </c>
      <c r="AE75" s="8">
        <v>0</v>
      </c>
      <c r="AF75" s="9">
        <v>44964</v>
      </c>
      <c r="AG75" s="10" t="s">
        <v>189</v>
      </c>
      <c r="AH75" s="9">
        <v>44964</v>
      </c>
      <c r="AI75" s="10" t="s">
        <v>189</v>
      </c>
      <c r="AJ75" s="9">
        <v>44964</v>
      </c>
      <c r="AK75" s="5"/>
    </row>
    <row r="76" spans="1:37" ht="27" hidden="1" customHeight="1">
      <c r="A76" s="1">
        <v>73</v>
      </c>
      <c r="B76" s="5"/>
      <c r="C76" s="5"/>
      <c r="D76" s="5"/>
      <c r="E76" s="13" t="s">
        <v>275</v>
      </c>
      <c r="F76" s="38" t="s">
        <v>276</v>
      </c>
      <c r="G76" s="1"/>
      <c r="H76" s="14">
        <v>1</v>
      </c>
      <c r="I76" s="5"/>
      <c r="J76" s="1"/>
      <c r="K76" s="5"/>
      <c r="L76" s="6"/>
      <c r="M76" s="5"/>
      <c r="N76" s="15">
        <v>44964</v>
      </c>
      <c r="O76" s="8">
        <v>0</v>
      </c>
      <c r="P76" s="9">
        <v>44964</v>
      </c>
      <c r="Q76" s="8">
        <v>0</v>
      </c>
      <c r="R76" s="9">
        <v>44964</v>
      </c>
      <c r="S76" s="8">
        <v>0</v>
      </c>
      <c r="T76" s="9">
        <v>44964</v>
      </c>
      <c r="U76" s="8">
        <v>0</v>
      </c>
      <c r="V76" s="9">
        <v>44964</v>
      </c>
      <c r="W76" s="8">
        <v>0</v>
      </c>
      <c r="X76" s="9">
        <v>44964</v>
      </c>
      <c r="Y76" s="8">
        <v>0</v>
      </c>
      <c r="Z76" s="9">
        <v>44964</v>
      </c>
      <c r="AA76" s="8">
        <v>0</v>
      </c>
      <c r="AB76" s="9">
        <v>44964</v>
      </c>
      <c r="AC76" s="8">
        <v>0</v>
      </c>
      <c r="AD76" s="8">
        <v>0</v>
      </c>
      <c r="AE76" s="8">
        <v>0</v>
      </c>
      <c r="AF76" s="9">
        <v>44964</v>
      </c>
      <c r="AG76" s="10" t="s">
        <v>189</v>
      </c>
      <c r="AH76" s="9">
        <v>44964</v>
      </c>
      <c r="AI76" s="10" t="s">
        <v>189</v>
      </c>
      <c r="AJ76" s="9">
        <v>44964</v>
      </c>
      <c r="AK76" s="5"/>
    </row>
    <row r="77" spans="1:37" ht="27" hidden="1" customHeight="1">
      <c r="A77" s="1">
        <v>74</v>
      </c>
      <c r="B77" s="5"/>
      <c r="C77" s="5"/>
      <c r="D77" s="5"/>
      <c r="E77" s="13" t="s">
        <v>277</v>
      </c>
      <c r="F77" s="38" t="s">
        <v>278</v>
      </c>
      <c r="G77" s="1"/>
      <c r="H77" s="14">
        <v>2</v>
      </c>
      <c r="I77" s="5"/>
      <c r="J77" s="1"/>
      <c r="K77" s="5"/>
      <c r="L77" s="6"/>
      <c r="M77" s="5"/>
      <c r="N77" s="15">
        <v>45002</v>
      </c>
      <c r="O77" s="8">
        <v>1</v>
      </c>
      <c r="P77" s="9">
        <v>44964</v>
      </c>
      <c r="Q77" s="8">
        <v>0</v>
      </c>
      <c r="R77" s="9">
        <v>44964</v>
      </c>
      <c r="S77" s="8">
        <v>0</v>
      </c>
      <c r="T77" s="9">
        <v>44964</v>
      </c>
      <c r="U77" s="8">
        <v>0</v>
      </c>
      <c r="V77" s="9">
        <v>44964</v>
      </c>
      <c r="W77" s="8">
        <v>0</v>
      </c>
      <c r="X77" s="9">
        <v>44964</v>
      </c>
      <c r="Y77" s="8">
        <v>0</v>
      </c>
      <c r="Z77" s="9">
        <v>44964</v>
      </c>
      <c r="AA77" s="8">
        <v>0</v>
      </c>
      <c r="AB77" s="9">
        <v>44964</v>
      </c>
      <c r="AC77" s="8">
        <v>0</v>
      </c>
      <c r="AD77" s="8">
        <v>0</v>
      </c>
      <c r="AE77" s="8">
        <v>0</v>
      </c>
      <c r="AF77" s="9">
        <v>44964</v>
      </c>
      <c r="AG77" s="10" t="s">
        <v>189</v>
      </c>
      <c r="AH77" s="9">
        <v>44964</v>
      </c>
      <c r="AI77" s="10" t="s">
        <v>189</v>
      </c>
      <c r="AJ77" s="9">
        <v>44964</v>
      </c>
      <c r="AK77" s="5"/>
    </row>
    <row r="78" spans="1:37" ht="27" hidden="1" customHeight="1">
      <c r="A78" s="1">
        <v>75</v>
      </c>
      <c r="B78" s="5"/>
      <c r="C78" s="5"/>
      <c r="D78" s="5"/>
      <c r="E78" s="13" t="s">
        <v>279</v>
      </c>
      <c r="F78" s="38" t="s">
        <v>280</v>
      </c>
      <c r="G78" s="1"/>
      <c r="H78" s="14">
        <v>1</v>
      </c>
      <c r="I78" s="5"/>
      <c r="J78" s="1"/>
      <c r="K78" s="5"/>
      <c r="L78" s="6"/>
      <c r="M78" s="5"/>
      <c r="N78" s="15">
        <v>44964</v>
      </c>
      <c r="O78" s="8">
        <v>0</v>
      </c>
      <c r="P78" s="9">
        <v>44964</v>
      </c>
      <c r="Q78" s="8">
        <v>0</v>
      </c>
      <c r="R78" s="9">
        <v>44964</v>
      </c>
      <c r="S78" s="8">
        <v>0</v>
      </c>
      <c r="T78" s="9">
        <v>44964</v>
      </c>
      <c r="U78" s="8">
        <v>0</v>
      </c>
      <c r="V78" s="9">
        <v>44964</v>
      </c>
      <c r="W78" s="8">
        <v>0</v>
      </c>
      <c r="X78" s="9">
        <v>44964</v>
      </c>
      <c r="Y78" s="8">
        <v>0</v>
      </c>
      <c r="Z78" s="9">
        <v>44964</v>
      </c>
      <c r="AA78" s="8">
        <v>0</v>
      </c>
      <c r="AB78" s="9">
        <v>44964</v>
      </c>
      <c r="AC78" s="8">
        <v>0</v>
      </c>
      <c r="AD78" s="8">
        <v>0</v>
      </c>
      <c r="AE78" s="8">
        <v>0</v>
      </c>
      <c r="AF78" s="9">
        <v>44964</v>
      </c>
      <c r="AG78" s="10" t="s">
        <v>189</v>
      </c>
      <c r="AH78" s="9">
        <v>44964</v>
      </c>
      <c r="AI78" s="10" t="s">
        <v>189</v>
      </c>
      <c r="AJ78" s="9">
        <v>44964</v>
      </c>
      <c r="AK78" s="5"/>
    </row>
    <row r="79" spans="1:37" ht="27" hidden="1" customHeight="1">
      <c r="A79" s="1">
        <v>76</v>
      </c>
      <c r="B79" s="5"/>
      <c r="C79" s="5"/>
      <c r="D79" s="5"/>
      <c r="E79" s="13"/>
      <c r="F79" s="38" t="s">
        <v>200</v>
      </c>
      <c r="G79" s="1"/>
      <c r="H79" s="14">
        <v>1</v>
      </c>
      <c r="I79" s="5"/>
      <c r="J79" s="1"/>
      <c r="K79" s="5"/>
      <c r="L79" s="6"/>
      <c r="M79" s="5"/>
      <c r="N79" s="15">
        <v>44964</v>
      </c>
      <c r="O79" s="8">
        <v>0</v>
      </c>
      <c r="P79" s="9">
        <v>44964</v>
      </c>
      <c r="Q79" s="8">
        <v>0</v>
      </c>
      <c r="R79" s="9">
        <v>44964</v>
      </c>
      <c r="S79" s="8">
        <v>0</v>
      </c>
      <c r="T79" s="9">
        <v>44964</v>
      </c>
      <c r="U79" s="8">
        <v>0</v>
      </c>
      <c r="V79" s="9">
        <v>44964</v>
      </c>
      <c r="W79" s="8">
        <v>0</v>
      </c>
      <c r="X79" s="9">
        <v>44964</v>
      </c>
      <c r="Y79" s="8">
        <v>0</v>
      </c>
      <c r="Z79" s="9">
        <v>44964</v>
      </c>
      <c r="AA79" s="8">
        <v>0</v>
      </c>
      <c r="AB79" s="9">
        <v>44964</v>
      </c>
      <c r="AC79" s="8">
        <v>0</v>
      </c>
      <c r="AD79" s="8">
        <v>0</v>
      </c>
      <c r="AE79" s="8">
        <v>0</v>
      </c>
      <c r="AF79" s="9">
        <v>44964</v>
      </c>
      <c r="AG79" s="10" t="s">
        <v>189</v>
      </c>
      <c r="AH79" s="9">
        <v>44964</v>
      </c>
      <c r="AI79" s="10" t="s">
        <v>189</v>
      </c>
      <c r="AJ79" s="9">
        <v>44964</v>
      </c>
      <c r="AK79" s="5"/>
    </row>
    <row r="80" spans="1:37" ht="27" hidden="1" customHeight="1">
      <c r="A80" s="1">
        <v>77</v>
      </c>
      <c r="B80" s="5"/>
      <c r="C80" s="5"/>
      <c r="D80" s="5"/>
      <c r="E80" s="13" t="s">
        <v>281</v>
      </c>
      <c r="F80" s="38" t="s">
        <v>188</v>
      </c>
      <c r="G80" s="1"/>
      <c r="H80" s="14">
        <v>1</v>
      </c>
      <c r="I80" s="5"/>
      <c r="J80" s="1"/>
      <c r="K80" s="5"/>
      <c r="L80" s="6"/>
      <c r="M80" s="5"/>
      <c r="N80" s="15">
        <v>44964</v>
      </c>
      <c r="O80" s="8">
        <v>0</v>
      </c>
      <c r="P80" s="9">
        <v>44964</v>
      </c>
      <c r="Q80" s="8">
        <v>0</v>
      </c>
      <c r="R80" s="9">
        <v>44964</v>
      </c>
      <c r="S80" s="8">
        <v>0</v>
      </c>
      <c r="T80" s="9">
        <v>44964</v>
      </c>
      <c r="U80" s="8">
        <v>0</v>
      </c>
      <c r="V80" s="9">
        <v>44964</v>
      </c>
      <c r="W80" s="8">
        <v>0</v>
      </c>
      <c r="X80" s="9">
        <v>44964</v>
      </c>
      <c r="Y80" s="8">
        <v>0</v>
      </c>
      <c r="Z80" s="9">
        <v>44964</v>
      </c>
      <c r="AA80" s="8">
        <v>0</v>
      </c>
      <c r="AB80" s="9">
        <v>44964</v>
      </c>
      <c r="AC80" s="8">
        <v>0</v>
      </c>
      <c r="AD80" s="8">
        <v>0</v>
      </c>
      <c r="AE80" s="8">
        <v>0</v>
      </c>
      <c r="AF80" s="9">
        <v>44964</v>
      </c>
      <c r="AG80" s="10" t="s">
        <v>189</v>
      </c>
      <c r="AH80" s="9">
        <v>44964</v>
      </c>
      <c r="AI80" s="10" t="s">
        <v>189</v>
      </c>
      <c r="AJ80" s="9">
        <v>44964</v>
      </c>
      <c r="AK80" s="5"/>
    </row>
    <row r="81" spans="1:37" ht="27" hidden="1" customHeight="1">
      <c r="A81" s="1">
        <v>78</v>
      </c>
      <c r="B81" s="5"/>
      <c r="C81" s="5"/>
      <c r="D81" s="5"/>
      <c r="E81" s="13"/>
      <c r="F81" s="38" t="s">
        <v>235</v>
      </c>
      <c r="G81" s="1"/>
      <c r="H81" s="14">
        <v>1</v>
      </c>
      <c r="I81" s="5"/>
      <c r="J81" s="1"/>
      <c r="K81" s="5"/>
      <c r="L81" s="6"/>
      <c r="M81" s="5"/>
      <c r="N81" s="15">
        <v>44964</v>
      </c>
      <c r="O81" s="8">
        <v>0</v>
      </c>
      <c r="P81" s="9">
        <v>44964</v>
      </c>
      <c r="Q81" s="8">
        <v>0</v>
      </c>
      <c r="R81" s="9">
        <v>44964</v>
      </c>
      <c r="S81" s="8">
        <v>0</v>
      </c>
      <c r="T81" s="9">
        <v>44964</v>
      </c>
      <c r="U81" s="8">
        <v>0</v>
      </c>
      <c r="V81" s="9">
        <v>44964</v>
      </c>
      <c r="W81" s="8">
        <v>0</v>
      </c>
      <c r="X81" s="9">
        <v>44964</v>
      </c>
      <c r="Y81" s="8">
        <v>0</v>
      </c>
      <c r="Z81" s="9">
        <v>44964</v>
      </c>
      <c r="AA81" s="8">
        <v>0</v>
      </c>
      <c r="AB81" s="9">
        <v>44964</v>
      </c>
      <c r="AC81" s="8">
        <v>0</v>
      </c>
      <c r="AD81" s="8">
        <v>0</v>
      </c>
      <c r="AE81" s="8">
        <v>0</v>
      </c>
      <c r="AF81" s="9">
        <v>44964</v>
      </c>
      <c r="AG81" s="10" t="s">
        <v>189</v>
      </c>
      <c r="AH81" s="9">
        <v>44964</v>
      </c>
      <c r="AI81" s="10" t="s">
        <v>189</v>
      </c>
      <c r="AJ81" s="9">
        <v>44964</v>
      </c>
      <c r="AK81" s="5"/>
    </row>
    <row r="82" spans="1:37" ht="27" hidden="1" customHeight="1">
      <c r="A82" s="1">
        <v>79</v>
      </c>
      <c r="B82" s="5"/>
      <c r="C82" s="5"/>
      <c r="D82" s="5"/>
      <c r="E82" s="13" t="s">
        <v>282</v>
      </c>
      <c r="F82" s="38" t="s">
        <v>283</v>
      </c>
      <c r="G82" s="1"/>
      <c r="H82" s="14">
        <v>1</v>
      </c>
      <c r="I82" s="5"/>
      <c r="J82" s="1"/>
      <c r="K82" s="5"/>
      <c r="L82" s="6"/>
      <c r="M82" s="5"/>
      <c r="N82" s="15">
        <v>44964</v>
      </c>
      <c r="O82" s="8">
        <v>0</v>
      </c>
      <c r="P82" s="9">
        <v>44964</v>
      </c>
      <c r="Q82" s="8">
        <v>0</v>
      </c>
      <c r="R82" s="9">
        <v>44964</v>
      </c>
      <c r="S82" s="8">
        <v>0</v>
      </c>
      <c r="T82" s="9">
        <v>44964</v>
      </c>
      <c r="U82" s="8">
        <v>0</v>
      </c>
      <c r="V82" s="9">
        <v>44964</v>
      </c>
      <c r="W82" s="8">
        <v>0</v>
      </c>
      <c r="X82" s="9">
        <v>44964</v>
      </c>
      <c r="Y82" s="8">
        <v>0</v>
      </c>
      <c r="Z82" s="9">
        <v>44964</v>
      </c>
      <c r="AA82" s="8">
        <v>0</v>
      </c>
      <c r="AB82" s="9">
        <v>44964</v>
      </c>
      <c r="AC82" s="8">
        <v>0</v>
      </c>
      <c r="AD82" s="8">
        <v>0</v>
      </c>
      <c r="AE82" s="8">
        <v>0</v>
      </c>
      <c r="AF82" s="9">
        <v>44964</v>
      </c>
      <c r="AG82" s="10" t="s">
        <v>189</v>
      </c>
      <c r="AH82" s="9">
        <v>44964</v>
      </c>
      <c r="AI82" s="10" t="s">
        <v>189</v>
      </c>
      <c r="AJ82" s="9">
        <v>44964</v>
      </c>
      <c r="AK82" s="5"/>
    </row>
    <row r="83" spans="1:37" ht="27" customHeight="1">
      <c r="A83" s="1">
        <v>80</v>
      </c>
      <c r="B83" s="5"/>
      <c r="C83" s="5"/>
      <c r="D83" s="5"/>
      <c r="E83" s="13" t="s">
        <v>284</v>
      </c>
      <c r="F83" s="38" t="s">
        <v>271</v>
      </c>
      <c r="G83" s="1"/>
      <c r="H83" s="14">
        <v>1</v>
      </c>
      <c r="I83" s="5"/>
      <c r="J83" s="1" t="s">
        <v>31</v>
      </c>
      <c r="K83" s="5"/>
      <c r="L83" s="6"/>
      <c r="M83" s="5"/>
      <c r="N83" s="15">
        <v>44964</v>
      </c>
      <c r="O83" s="8">
        <v>0</v>
      </c>
      <c r="P83" s="9">
        <v>44964</v>
      </c>
      <c r="Q83" s="8">
        <v>0</v>
      </c>
      <c r="R83" s="9">
        <v>44964</v>
      </c>
      <c r="S83" s="8">
        <v>0</v>
      </c>
      <c r="T83" s="9">
        <v>44964</v>
      </c>
      <c r="U83" s="8">
        <v>0</v>
      </c>
      <c r="V83" s="9">
        <v>44964</v>
      </c>
      <c r="W83" s="8">
        <v>0</v>
      </c>
      <c r="X83" s="9">
        <v>44964</v>
      </c>
      <c r="Y83" s="8">
        <v>0</v>
      </c>
      <c r="Z83" s="9">
        <v>44964</v>
      </c>
      <c r="AA83" s="8">
        <v>0</v>
      </c>
      <c r="AB83" s="9">
        <v>44964</v>
      </c>
      <c r="AC83" s="8">
        <v>0</v>
      </c>
      <c r="AD83" s="8">
        <v>0</v>
      </c>
      <c r="AE83" s="8">
        <v>0</v>
      </c>
      <c r="AF83" s="9">
        <v>44964</v>
      </c>
      <c r="AG83" s="10" t="s">
        <v>189</v>
      </c>
      <c r="AH83" s="9">
        <v>44964</v>
      </c>
      <c r="AI83" s="10" t="s">
        <v>189</v>
      </c>
      <c r="AJ83" s="9">
        <v>44964</v>
      </c>
      <c r="AK83" s="5"/>
    </row>
    <row r="84" spans="1:37" ht="27" hidden="1" customHeight="1">
      <c r="A84" s="1">
        <v>81</v>
      </c>
      <c r="B84" s="5"/>
      <c r="C84" s="5"/>
      <c r="D84" s="5"/>
      <c r="E84" s="13" t="s">
        <v>285</v>
      </c>
      <c r="F84" s="38" t="s">
        <v>216</v>
      </c>
      <c r="G84" s="1"/>
      <c r="H84" s="14">
        <v>1</v>
      </c>
      <c r="I84" s="5"/>
      <c r="J84" s="1"/>
      <c r="K84" s="5"/>
      <c r="L84" s="6"/>
      <c r="M84" s="5"/>
      <c r="N84" s="15">
        <v>44964</v>
      </c>
      <c r="O84" s="8">
        <v>0</v>
      </c>
      <c r="P84" s="9">
        <v>44964</v>
      </c>
      <c r="Q84" s="8">
        <v>0</v>
      </c>
      <c r="R84" s="9">
        <v>44964</v>
      </c>
      <c r="S84" s="8">
        <v>0</v>
      </c>
      <c r="T84" s="9">
        <v>44964</v>
      </c>
      <c r="U84" s="8">
        <v>0</v>
      </c>
      <c r="V84" s="9">
        <v>44964</v>
      </c>
      <c r="W84" s="8">
        <v>0</v>
      </c>
      <c r="X84" s="9">
        <v>44964</v>
      </c>
      <c r="Y84" s="8">
        <v>0</v>
      </c>
      <c r="Z84" s="9">
        <v>44964</v>
      </c>
      <c r="AA84" s="8">
        <v>0</v>
      </c>
      <c r="AB84" s="9">
        <v>44964</v>
      </c>
      <c r="AC84" s="8">
        <v>0</v>
      </c>
      <c r="AD84" s="8">
        <v>0</v>
      </c>
      <c r="AE84" s="8">
        <v>0</v>
      </c>
      <c r="AF84" s="9">
        <v>44964</v>
      </c>
      <c r="AG84" s="10" t="s">
        <v>189</v>
      </c>
      <c r="AH84" s="9">
        <v>44964</v>
      </c>
      <c r="AI84" s="10" t="s">
        <v>189</v>
      </c>
      <c r="AJ84" s="9">
        <v>44964</v>
      </c>
      <c r="AK84" s="5"/>
    </row>
  </sheetData>
  <autoFilter ref="A3:AK84" xr:uid="{00000000-0009-0000-0000-000004000000}">
    <filterColumn colId="9">
      <filters>
        <filter val="置台"/>
        <filter val="抓手"/>
      </filters>
    </filterColumn>
  </autoFilter>
  <mergeCells count="38">
    <mergeCell ref="AJ2:AJ3"/>
    <mergeCell ref="AK2:AK3"/>
    <mergeCell ref="AE2:AE3"/>
    <mergeCell ref="AF2:AF3"/>
    <mergeCell ref="AG2:AG3"/>
    <mergeCell ref="AH2:AH3"/>
    <mergeCell ref="AI2:AI3"/>
    <mergeCell ref="Z2:Z3"/>
    <mergeCell ref="AA2:AA3"/>
    <mergeCell ref="AB2:AB3"/>
    <mergeCell ref="AC2:AC3"/>
    <mergeCell ref="AD2:AD3"/>
    <mergeCell ref="U2:U3"/>
    <mergeCell ref="V2:V3"/>
    <mergeCell ref="W2:W3"/>
    <mergeCell ref="X2:X3"/>
    <mergeCell ref="Y2:Y3"/>
    <mergeCell ref="P2:P3"/>
    <mergeCell ref="Q2:Q3"/>
    <mergeCell ref="R2:R3"/>
    <mergeCell ref="S2:S3"/>
    <mergeCell ref="T2:T3"/>
    <mergeCell ref="A1:AK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honeticPr fontId="63" type="noConversion"/>
  <conditionalFormatting sqref="L4:L15">
    <cfRule type="dataBar" priority="23">
      <dataBar>
        <cfvo type="num" val="0"/>
        <cfvo type="num" val="1"/>
        <color rgb="FF00B0F0"/>
      </dataBar>
      <extLst>
        <ext xmlns:x14="http://schemas.microsoft.com/office/spreadsheetml/2009/9/main" uri="{B025F937-C7B1-47D3-B67F-A62EFF666E3E}">
          <x14:id>{D29E60B6-1D9E-4FD1-8345-D8850B7D0176}</x14:id>
        </ext>
      </extLst>
    </cfRule>
  </conditionalFormatting>
  <conditionalFormatting sqref="L16:L84">
    <cfRule type="dataBar" priority="12">
      <dataBar>
        <cfvo type="num" val="0"/>
        <cfvo type="num" val="1"/>
        <color rgb="FF00B0F0"/>
      </dataBar>
      <extLst>
        <ext xmlns:x14="http://schemas.microsoft.com/office/spreadsheetml/2009/9/main" uri="{B025F937-C7B1-47D3-B67F-A62EFF666E3E}">
          <x14:id>{1B7E97DF-6FB3-41CA-BEAB-3CDAC0785DB3}</x14:id>
        </ext>
      </extLst>
    </cfRule>
  </conditionalFormatting>
  <conditionalFormatting sqref="O16">
    <cfRule type="dataBar" priority="1">
      <dataBar>
        <cfvo type="num" val="0"/>
        <cfvo type="num" val="1"/>
        <color rgb="FF00B050"/>
      </dataBar>
      <extLst>
        <ext xmlns:x14="http://schemas.microsoft.com/office/spreadsheetml/2009/9/main" uri="{B025F937-C7B1-47D3-B67F-A62EFF666E3E}">
          <x14:id>{D4FFA46D-AF06-4160-893D-180956552C8A}</x14:id>
        </ext>
      </extLst>
    </cfRule>
  </conditionalFormatting>
  <conditionalFormatting sqref="O42 O29 O55 O68 O81">
    <cfRule type="dataBar" priority="11">
      <dataBar>
        <cfvo type="num" val="0"/>
        <cfvo type="num" val="1"/>
        <color rgb="FF00B050"/>
      </dataBar>
      <extLst>
        <ext xmlns:x14="http://schemas.microsoft.com/office/spreadsheetml/2009/9/main" uri="{B025F937-C7B1-47D3-B67F-A62EFF666E3E}">
          <x14:id>{BAEF8869-C283-4484-AF16-D9A71F851265}</x14:id>
        </ext>
      </extLst>
    </cfRule>
  </conditionalFormatting>
  <conditionalFormatting sqref="O82:O84 O4:O15 O30:O41 O17:O28 O43:O54 O56:O67 O69:O80">
    <cfRule type="dataBar" priority="22">
      <dataBar>
        <cfvo type="num" val="0"/>
        <cfvo type="num" val="1"/>
        <color rgb="FF00B050"/>
      </dataBar>
      <extLst>
        <ext xmlns:x14="http://schemas.microsoft.com/office/spreadsheetml/2009/9/main" uri="{B025F937-C7B1-47D3-B67F-A62EFF666E3E}">
          <x14:id>{A9D5498B-0338-4854-BAAE-618DB80A218B}</x14:id>
        </ext>
      </extLst>
    </cfRule>
  </conditionalFormatting>
  <conditionalFormatting sqref="Q4:Q15 Q17:Q28 Q30:Q41 Q43:Q54 Q56:Q67 Q69:Q80 Q82:Q84">
    <cfRule type="dataBar" priority="21">
      <dataBar>
        <cfvo type="num" val="0"/>
        <cfvo type="num" val="1"/>
        <color rgb="FF00B050"/>
      </dataBar>
      <extLst>
        <ext xmlns:x14="http://schemas.microsoft.com/office/spreadsheetml/2009/9/main" uri="{B025F937-C7B1-47D3-B67F-A62EFF666E3E}">
          <x14:id>{40C2FB8E-6E25-4C80-8D44-5945B8C3E09F}</x14:id>
        </ext>
      </extLst>
    </cfRule>
  </conditionalFormatting>
  <conditionalFormatting sqref="Q16 Q29 Q42 Q55 Q68 Q81">
    <cfRule type="dataBar" priority="10">
      <dataBar>
        <cfvo type="num" val="0"/>
        <cfvo type="num" val="1"/>
        <color rgb="FF00B050"/>
      </dataBar>
      <extLst>
        <ext xmlns:x14="http://schemas.microsoft.com/office/spreadsheetml/2009/9/main" uri="{B025F937-C7B1-47D3-B67F-A62EFF666E3E}">
          <x14:id>{33709978-6FAB-4A07-815E-08554983406E}</x14:id>
        </ext>
      </extLst>
    </cfRule>
  </conditionalFormatting>
  <conditionalFormatting sqref="S4:S15 S17:S28 S30:S41 S43:S54 S56:S67 S69:S80 S82:S84">
    <cfRule type="dataBar" priority="20">
      <dataBar>
        <cfvo type="num" val="0"/>
        <cfvo type="num" val="1"/>
        <color rgb="FF00B050"/>
      </dataBar>
      <extLst>
        <ext xmlns:x14="http://schemas.microsoft.com/office/spreadsheetml/2009/9/main" uri="{B025F937-C7B1-47D3-B67F-A62EFF666E3E}">
          <x14:id>{E64BEDFE-EDFE-4958-9D4B-7F76B0D4E755}</x14:id>
        </ext>
      </extLst>
    </cfRule>
  </conditionalFormatting>
  <conditionalFormatting sqref="S29 S16 S42 S55 S68 S81">
    <cfRule type="dataBar" priority="9">
      <dataBar>
        <cfvo type="num" val="0"/>
        <cfvo type="num" val="1"/>
        <color rgb="FF00B050"/>
      </dataBar>
      <extLst>
        <ext xmlns:x14="http://schemas.microsoft.com/office/spreadsheetml/2009/9/main" uri="{B025F937-C7B1-47D3-B67F-A62EFF666E3E}">
          <x14:id>{96E2EE60-00C5-4A82-B61A-01229D961AE2}</x14:id>
        </ext>
      </extLst>
    </cfRule>
  </conditionalFormatting>
  <conditionalFormatting sqref="U4:U15 U17:U28 U30:U41 U43:U54 U56:U67 U69:U80 U82:U84">
    <cfRule type="dataBar" priority="19">
      <dataBar>
        <cfvo type="num" val="0"/>
        <cfvo type="num" val="1"/>
        <color rgb="FF00B050"/>
      </dataBar>
      <extLst>
        <ext xmlns:x14="http://schemas.microsoft.com/office/spreadsheetml/2009/9/main" uri="{B025F937-C7B1-47D3-B67F-A62EFF666E3E}">
          <x14:id>{461C6C90-55E8-4B48-AD39-5A9C19669757}</x14:id>
        </ext>
      </extLst>
    </cfRule>
  </conditionalFormatting>
  <conditionalFormatting sqref="U16 U29 U42 U55 U68 U81">
    <cfRule type="dataBar" priority="8">
      <dataBar>
        <cfvo type="num" val="0"/>
        <cfvo type="num" val="1"/>
        <color rgb="FF00B050"/>
      </dataBar>
      <extLst>
        <ext xmlns:x14="http://schemas.microsoft.com/office/spreadsheetml/2009/9/main" uri="{B025F937-C7B1-47D3-B67F-A62EFF666E3E}">
          <x14:id>{99CF0190-5B2C-442E-9BD0-D444C59B4AD1}</x14:id>
        </ext>
      </extLst>
    </cfRule>
  </conditionalFormatting>
  <conditionalFormatting sqref="W4:W15 W17:W28 W30:W41 W43:W54 W56:W67 W69:W80 W82:W84">
    <cfRule type="dataBar" priority="18">
      <dataBar>
        <cfvo type="num" val="0"/>
        <cfvo type="num" val="1"/>
        <color rgb="FF00B050"/>
      </dataBar>
      <extLst>
        <ext xmlns:x14="http://schemas.microsoft.com/office/spreadsheetml/2009/9/main" uri="{B025F937-C7B1-47D3-B67F-A62EFF666E3E}">
          <x14:id>{C47EC57E-74C0-45F3-B2DE-81A35B966D82}</x14:id>
        </ext>
      </extLst>
    </cfRule>
  </conditionalFormatting>
  <conditionalFormatting sqref="W29 W16 W42 W55 W68 W81">
    <cfRule type="dataBar" priority="7">
      <dataBar>
        <cfvo type="num" val="0"/>
        <cfvo type="num" val="1"/>
        <color rgb="FF00B050"/>
      </dataBar>
      <extLst>
        <ext xmlns:x14="http://schemas.microsoft.com/office/spreadsheetml/2009/9/main" uri="{B025F937-C7B1-47D3-B67F-A62EFF666E3E}">
          <x14:id>{6751A275-D0AE-461B-8ACC-5E0E3E4411A4}</x14:id>
        </ext>
      </extLst>
    </cfRule>
  </conditionalFormatting>
  <conditionalFormatting sqref="Y4:Y15 Y17:Y28 Y30:Y41 Y43:Y54 Y56:Y67 Y69:Y80 Y82:Y84">
    <cfRule type="dataBar" priority="17">
      <dataBar>
        <cfvo type="num" val="0"/>
        <cfvo type="num" val="1"/>
        <color rgb="FF00B050"/>
      </dataBar>
      <extLst>
        <ext xmlns:x14="http://schemas.microsoft.com/office/spreadsheetml/2009/9/main" uri="{B025F937-C7B1-47D3-B67F-A62EFF666E3E}">
          <x14:id>{8B61000C-4E5E-4329-8FFA-4FE8AC7B97E2}</x14:id>
        </ext>
      </extLst>
    </cfRule>
  </conditionalFormatting>
  <conditionalFormatting sqref="Y29 Y16 Y42 Y55 Y68 Y81">
    <cfRule type="dataBar" priority="6">
      <dataBar>
        <cfvo type="num" val="0"/>
        <cfvo type="num" val="1"/>
        <color rgb="FF00B050"/>
      </dataBar>
      <extLst>
        <ext xmlns:x14="http://schemas.microsoft.com/office/spreadsheetml/2009/9/main" uri="{B025F937-C7B1-47D3-B67F-A62EFF666E3E}">
          <x14:id>{E802AB98-6A00-4992-B081-5D5A4E514D21}</x14:id>
        </ext>
      </extLst>
    </cfRule>
  </conditionalFormatting>
  <conditionalFormatting sqref="AA4:AA15 AA17:AA28 AA30:AA41 AA43:AA54 AA56:AA67 AA69:AA80 AA82:AA84">
    <cfRule type="dataBar" priority="16">
      <dataBar>
        <cfvo type="num" val="0"/>
        <cfvo type="num" val="1"/>
        <color rgb="FF00B050"/>
      </dataBar>
      <extLst>
        <ext xmlns:x14="http://schemas.microsoft.com/office/spreadsheetml/2009/9/main" uri="{B025F937-C7B1-47D3-B67F-A62EFF666E3E}">
          <x14:id>{BCC47AB0-47A5-4BB8-9836-D36CAF344544}</x14:id>
        </ext>
      </extLst>
    </cfRule>
  </conditionalFormatting>
  <conditionalFormatting sqref="AA29 AA16 AA42 AA55 AA68 AA81">
    <cfRule type="dataBar" priority="5">
      <dataBar>
        <cfvo type="num" val="0"/>
        <cfvo type="num" val="1"/>
        <color rgb="FF00B050"/>
      </dataBar>
      <extLst>
        <ext xmlns:x14="http://schemas.microsoft.com/office/spreadsheetml/2009/9/main" uri="{B025F937-C7B1-47D3-B67F-A62EFF666E3E}">
          <x14:id>{F6951E7D-2A3D-4DB9-9F81-91FDF14B9E5D}</x14:id>
        </ext>
      </extLst>
    </cfRule>
  </conditionalFormatting>
  <conditionalFormatting sqref="AC4:AC15 AC17:AC28 AC30:AC41 AC43:AC54 AC56:AC67 AC69:AC80 AC82:AC84">
    <cfRule type="dataBar" priority="15">
      <dataBar>
        <cfvo type="num" val="0"/>
        <cfvo type="num" val="1"/>
        <color rgb="FF00B050"/>
      </dataBar>
      <extLst>
        <ext xmlns:x14="http://schemas.microsoft.com/office/spreadsheetml/2009/9/main" uri="{B025F937-C7B1-47D3-B67F-A62EFF666E3E}">
          <x14:id>{FC29CC91-F4A1-4E76-8D79-B0B27442F5FF}</x14:id>
        </ext>
      </extLst>
    </cfRule>
  </conditionalFormatting>
  <conditionalFormatting sqref="AC29 AC16 AC42 AC55 AC68 AC81">
    <cfRule type="dataBar" priority="4">
      <dataBar>
        <cfvo type="num" val="0"/>
        <cfvo type="num" val="1"/>
        <color rgb="FF00B050"/>
      </dataBar>
      <extLst>
        <ext xmlns:x14="http://schemas.microsoft.com/office/spreadsheetml/2009/9/main" uri="{B025F937-C7B1-47D3-B67F-A62EFF666E3E}">
          <x14:id>{4A4DD5FE-2D86-4AC3-AF45-DCAF34DF93FF}</x14:id>
        </ext>
      </extLst>
    </cfRule>
  </conditionalFormatting>
  <conditionalFormatting sqref="AD4:AD15 AD17:AD28 AD30:AD41 AD43:AD54 AD56:AD67 AD69:AD80 AD82:AD84">
    <cfRule type="dataBar" priority="14">
      <dataBar>
        <cfvo type="num" val="0"/>
        <cfvo type="num" val="1"/>
        <color rgb="FF00B050"/>
      </dataBar>
      <extLst>
        <ext xmlns:x14="http://schemas.microsoft.com/office/spreadsheetml/2009/9/main" uri="{B025F937-C7B1-47D3-B67F-A62EFF666E3E}">
          <x14:id>{0B1BFA18-1F8F-4A6C-80A8-D5C59FBE6111}</x14:id>
        </ext>
      </extLst>
    </cfRule>
  </conditionalFormatting>
  <conditionalFormatting sqref="AD29 AD16 AD42 AD55 AD68 AD81">
    <cfRule type="dataBar" priority="3">
      <dataBar>
        <cfvo type="num" val="0"/>
        <cfvo type="num" val="1"/>
        <color rgb="FF00B050"/>
      </dataBar>
      <extLst>
        <ext xmlns:x14="http://schemas.microsoft.com/office/spreadsheetml/2009/9/main" uri="{B025F937-C7B1-47D3-B67F-A62EFF666E3E}">
          <x14:id>{E9633AE8-9DF1-4EA6-9F8C-5F7B5FFFCAE4}</x14:id>
        </ext>
      </extLst>
    </cfRule>
  </conditionalFormatting>
  <conditionalFormatting sqref="AE4:AE15 AE17:AE28 AE30:AE41 AE43:AE54 AE56:AE67 AE69:AE80 AE82:AE84">
    <cfRule type="dataBar" priority="13">
      <dataBar>
        <cfvo type="num" val="0"/>
        <cfvo type="num" val="1"/>
        <color rgb="FF00B050"/>
      </dataBar>
      <extLst>
        <ext xmlns:x14="http://schemas.microsoft.com/office/spreadsheetml/2009/9/main" uri="{B025F937-C7B1-47D3-B67F-A62EFF666E3E}">
          <x14:id>{C40844C9-4C31-4B34-839C-8C4CAE750B7C}</x14:id>
        </ext>
      </extLst>
    </cfRule>
  </conditionalFormatting>
  <conditionalFormatting sqref="AE29 AE16 AE42 AE55 AE68 AE81">
    <cfRule type="dataBar" priority="2">
      <dataBar>
        <cfvo type="num" val="0"/>
        <cfvo type="num" val="1"/>
        <color rgb="FF00B050"/>
      </dataBar>
      <extLst>
        <ext xmlns:x14="http://schemas.microsoft.com/office/spreadsheetml/2009/9/main" uri="{B025F937-C7B1-47D3-B67F-A62EFF666E3E}">
          <x14:id>{B2AAF3CA-B7B2-4F0E-892E-E0FF8DF28B64}</x14:id>
        </ext>
      </extLst>
    </cfRule>
  </conditionalFormatting>
  <pageMargins left="0.69930555555555596" right="0.69930555555555596"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D29E60B6-1D9E-4FD1-8345-D8850B7D0176}">
            <x14:dataBar minLength="0" maxLength="100" negativeBarColorSameAsPositive="1" axisPosition="none">
              <x14:cfvo type="num">
                <xm:f>0</xm:f>
              </x14:cfvo>
              <x14:cfvo type="num">
                <xm:f>1</xm:f>
              </x14:cfvo>
            </x14:dataBar>
          </x14:cfRule>
          <xm:sqref>L4:L15</xm:sqref>
        </x14:conditionalFormatting>
        <x14:conditionalFormatting xmlns:xm="http://schemas.microsoft.com/office/excel/2006/main">
          <x14:cfRule type="dataBar" id="{1B7E97DF-6FB3-41CA-BEAB-3CDAC0785DB3}">
            <x14:dataBar minLength="0" maxLength="100" negativeBarColorSameAsPositive="1" axisPosition="none">
              <x14:cfvo type="num">
                <xm:f>0</xm:f>
              </x14:cfvo>
              <x14:cfvo type="num">
                <xm:f>1</xm:f>
              </x14:cfvo>
            </x14:dataBar>
          </x14:cfRule>
          <xm:sqref>L16:L84</xm:sqref>
        </x14:conditionalFormatting>
        <x14:conditionalFormatting xmlns:xm="http://schemas.microsoft.com/office/excel/2006/main">
          <x14:cfRule type="dataBar" id="{D4FFA46D-AF06-4160-893D-180956552C8A}">
            <x14:dataBar minLength="0" maxLength="100" negativeBarColorSameAsPositive="1" axisPosition="none">
              <x14:cfvo type="num">
                <xm:f>0</xm:f>
              </x14:cfvo>
              <x14:cfvo type="num">
                <xm:f>1</xm:f>
              </x14:cfvo>
            </x14:dataBar>
          </x14:cfRule>
          <xm:sqref>O16</xm:sqref>
        </x14:conditionalFormatting>
        <x14:conditionalFormatting xmlns:xm="http://schemas.microsoft.com/office/excel/2006/main">
          <x14:cfRule type="dataBar" id="{BAEF8869-C283-4484-AF16-D9A71F851265}">
            <x14:dataBar minLength="0" maxLength="100" negativeBarColorSameAsPositive="1" axisPosition="none">
              <x14:cfvo type="num">
                <xm:f>0</xm:f>
              </x14:cfvo>
              <x14:cfvo type="num">
                <xm:f>1</xm:f>
              </x14:cfvo>
            </x14:dataBar>
          </x14:cfRule>
          <xm:sqref>O42 O29 O55 O68 O81</xm:sqref>
        </x14:conditionalFormatting>
        <x14:conditionalFormatting xmlns:xm="http://schemas.microsoft.com/office/excel/2006/main">
          <x14:cfRule type="dataBar" id="{A9D5498B-0338-4854-BAAE-618DB80A218B}">
            <x14:dataBar minLength="0" maxLength="100" negativeBarColorSameAsPositive="1" axisPosition="none">
              <x14:cfvo type="num">
                <xm:f>0</xm:f>
              </x14:cfvo>
              <x14:cfvo type="num">
                <xm:f>1</xm:f>
              </x14:cfvo>
            </x14:dataBar>
          </x14:cfRule>
          <xm:sqref>O82:O84 O4:O15 O30:O41 O17:O28 O43:O54 O56:O67 O69:O80</xm:sqref>
        </x14:conditionalFormatting>
        <x14:conditionalFormatting xmlns:xm="http://schemas.microsoft.com/office/excel/2006/main">
          <x14:cfRule type="dataBar" id="{40C2FB8E-6E25-4C80-8D44-5945B8C3E09F}">
            <x14:dataBar minLength="0" maxLength="100" negativeBarColorSameAsPositive="1" axisPosition="none">
              <x14:cfvo type="num">
                <xm:f>0</xm:f>
              </x14:cfvo>
              <x14:cfvo type="num">
                <xm:f>1</xm:f>
              </x14:cfvo>
            </x14:dataBar>
          </x14:cfRule>
          <xm:sqref>Q4:Q15 Q17:Q28 Q30:Q41 Q43:Q54 Q56:Q67 Q69:Q80 Q82:Q84</xm:sqref>
        </x14:conditionalFormatting>
        <x14:conditionalFormatting xmlns:xm="http://schemas.microsoft.com/office/excel/2006/main">
          <x14:cfRule type="dataBar" id="{33709978-6FAB-4A07-815E-08554983406E}">
            <x14:dataBar minLength="0" maxLength="100" negativeBarColorSameAsPositive="1" axisPosition="none">
              <x14:cfvo type="num">
                <xm:f>0</xm:f>
              </x14:cfvo>
              <x14:cfvo type="num">
                <xm:f>1</xm:f>
              </x14:cfvo>
            </x14:dataBar>
          </x14:cfRule>
          <xm:sqref>Q16 Q29 Q42 Q55 Q68 Q81</xm:sqref>
        </x14:conditionalFormatting>
        <x14:conditionalFormatting xmlns:xm="http://schemas.microsoft.com/office/excel/2006/main">
          <x14:cfRule type="dataBar" id="{E64BEDFE-EDFE-4958-9D4B-7F76B0D4E755}">
            <x14:dataBar minLength="0" maxLength="100" negativeBarColorSameAsPositive="1" axisPosition="none">
              <x14:cfvo type="num">
                <xm:f>0</xm:f>
              </x14:cfvo>
              <x14:cfvo type="num">
                <xm:f>1</xm:f>
              </x14:cfvo>
            </x14:dataBar>
          </x14:cfRule>
          <xm:sqref>S4:S15 S17:S28 S30:S41 S43:S54 S56:S67 S69:S80 S82:S84</xm:sqref>
        </x14:conditionalFormatting>
        <x14:conditionalFormatting xmlns:xm="http://schemas.microsoft.com/office/excel/2006/main">
          <x14:cfRule type="dataBar" id="{96E2EE60-00C5-4A82-B61A-01229D961AE2}">
            <x14:dataBar minLength="0" maxLength="100" negativeBarColorSameAsPositive="1" axisPosition="none">
              <x14:cfvo type="num">
                <xm:f>0</xm:f>
              </x14:cfvo>
              <x14:cfvo type="num">
                <xm:f>1</xm:f>
              </x14:cfvo>
            </x14:dataBar>
          </x14:cfRule>
          <xm:sqref>S29 S16 S42 S55 S68 S81</xm:sqref>
        </x14:conditionalFormatting>
        <x14:conditionalFormatting xmlns:xm="http://schemas.microsoft.com/office/excel/2006/main">
          <x14:cfRule type="dataBar" id="{461C6C90-55E8-4B48-AD39-5A9C19669757}">
            <x14:dataBar minLength="0" maxLength="100" negativeBarColorSameAsPositive="1" axisPosition="none">
              <x14:cfvo type="num">
                <xm:f>0</xm:f>
              </x14:cfvo>
              <x14:cfvo type="num">
                <xm:f>1</xm:f>
              </x14:cfvo>
            </x14:dataBar>
          </x14:cfRule>
          <xm:sqref>U4:U15 U17:U28 U30:U41 U43:U54 U56:U67 U69:U80 U82:U84</xm:sqref>
        </x14:conditionalFormatting>
        <x14:conditionalFormatting xmlns:xm="http://schemas.microsoft.com/office/excel/2006/main">
          <x14:cfRule type="dataBar" id="{99CF0190-5B2C-442E-9BD0-D444C59B4AD1}">
            <x14:dataBar minLength="0" maxLength="100" negativeBarColorSameAsPositive="1" axisPosition="none">
              <x14:cfvo type="num">
                <xm:f>0</xm:f>
              </x14:cfvo>
              <x14:cfvo type="num">
                <xm:f>1</xm:f>
              </x14:cfvo>
            </x14:dataBar>
          </x14:cfRule>
          <xm:sqref>U16 U29 U42 U55 U68 U81</xm:sqref>
        </x14:conditionalFormatting>
        <x14:conditionalFormatting xmlns:xm="http://schemas.microsoft.com/office/excel/2006/main">
          <x14:cfRule type="dataBar" id="{C47EC57E-74C0-45F3-B2DE-81A35B966D82}">
            <x14:dataBar minLength="0" maxLength="100" negativeBarColorSameAsPositive="1" axisPosition="none">
              <x14:cfvo type="num">
                <xm:f>0</xm:f>
              </x14:cfvo>
              <x14:cfvo type="num">
                <xm:f>1</xm:f>
              </x14:cfvo>
            </x14:dataBar>
          </x14:cfRule>
          <xm:sqref>W4:W15 W17:W28 W30:W41 W43:W54 W56:W67 W69:W80 W82:W84</xm:sqref>
        </x14:conditionalFormatting>
        <x14:conditionalFormatting xmlns:xm="http://schemas.microsoft.com/office/excel/2006/main">
          <x14:cfRule type="dataBar" id="{6751A275-D0AE-461B-8ACC-5E0E3E4411A4}">
            <x14:dataBar minLength="0" maxLength="100" negativeBarColorSameAsPositive="1" axisPosition="none">
              <x14:cfvo type="num">
                <xm:f>0</xm:f>
              </x14:cfvo>
              <x14:cfvo type="num">
                <xm:f>1</xm:f>
              </x14:cfvo>
            </x14:dataBar>
          </x14:cfRule>
          <xm:sqref>W29 W16 W42 W55 W68 W81</xm:sqref>
        </x14:conditionalFormatting>
        <x14:conditionalFormatting xmlns:xm="http://schemas.microsoft.com/office/excel/2006/main">
          <x14:cfRule type="dataBar" id="{8B61000C-4E5E-4329-8FFA-4FE8AC7B97E2}">
            <x14:dataBar minLength="0" maxLength="100" negativeBarColorSameAsPositive="1" axisPosition="none">
              <x14:cfvo type="num">
                <xm:f>0</xm:f>
              </x14:cfvo>
              <x14:cfvo type="num">
                <xm:f>1</xm:f>
              </x14:cfvo>
            </x14:dataBar>
          </x14:cfRule>
          <xm:sqref>Y4:Y15 Y17:Y28 Y30:Y41 Y43:Y54 Y56:Y67 Y69:Y80 Y82:Y84</xm:sqref>
        </x14:conditionalFormatting>
        <x14:conditionalFormatting xmlns:xm="http://schemas.microsoft.com/office/excel/2006/main">
          <x14:cfRule type="dataBar" id="{E802AB98-6A00-4992-B081-5D5A4E514D21}">
            <x14:dataBar minLength="0" maxLength="100" negativeBarColorSameAsPositive="1" axisPosition="none">
              <x14:cfvo type="num">
                <xm:f>0</xm:f>
              </x14:cfvo>
              <x14:cfvo type="num">
                <xm:f>1</xm:f>
              </x14:cfvo>
            </x14:dataBar>
          </x14:cfRule>
          <xm:sqref>Y29 Y16 Y42 Y55 Y68 Y81</xm:sqref>
        </x14:conditionalFormatting>
        <x14:conditionalFormatting xmlns:xm="http://schemas.microsoft.com/office/excel/2006/main">
          <x14:cfRule type="dataBar" id="{BCC47AB0-47A5-4BB8-9836-D36CAF344544}">
            <x14:dataBar minLength="0" maxLength="100" negativeBarColorSameAsPositive="1" axisPosition="none">
              <x14:cfvo type="num">
                <xm:f>0</xm:f>
              </x14:cfvo>
              <x14:cfvo type="num">
                <xm:f>1</xm:f>
              </x14:cfvo>
            </x14:dataBar>
          </x14:cfRule>
          <xm:sqref>AA4:AA15 AA17:AA28 AA30:AA41 AA43:AA54 AA56:AA67 AA69:AA80 AA82:AA84</xm:sqref>
        </x14:conditionalFormatting>
        <x14:conditionalFormatting xmlns:xm="http://schemas.microsoft.com/office/excel/2006/main">
          <x14:cfRule type="dataBar" id="{F6951E7D-2A3D-4DB9-9F81-91FDF14B9E5D}">
            <x14:dataBar minLength="0" maxLength="100" negativeBarColorSameAsPositive="1" axisPosition="none">
              <x14:cfvo type="num">
                <xm:f>0</xm:f>
              </x14:cfvo>
              <x14:cfvo type="num">
                <xm:f>1</xm:f>
              </x14:cfvo>
            </x14:dataBar>
          </x14:cfRule>
          <xm:sqref>AA29 AA16 AA42 AA55 AA68 AA81</xm:sqref>
        </x14:conditionalFormatting>
        <x14:conditionalFormatting xmlns:xm="http://schemas.microsoft.com/office/excel/2006/main">
          <x14:cfRule type="dataBar" id="{FC29CC91-F4A1-4E76-8D79-B0B27442F5FF}">
            <x14:dataBar minLength="0" maxLength="100" negativeBarColorSameAsPositive="1" axisPosition="none">
              <x14:cfvo type="num">
                <xm:f>0</xm:f>
              </x14:cfvo>
              <x14:cfvo type="num">
                <xm:f>1</xm:f>
              </x14:cfvo>
            </x14:dataBar>
          </x14:cfRule>
          <xm:sqref>AC4:AC15 AC17:AC28 AC30:AC41 AC43:AC54 AC56:AC67 AC69:AC80 AC82:AC84</xm:sqref>
        </x14:conditionalFormatting>
        <x14:conditionalFormatting xmlns:xm="http://schemas.microsoft.com/office/excel/2006/main">
          <x14:cfRule type="dataBar" id="{4A4DD5FE-2D86-4AC3-AF45-DCAF34DF93FF}">
            <x14:dataBar minLength="0" maxLength="100" negativeBarColorSameAsPositive="1" axisPosition="none">
              <x14:cfvo type="num">
                <xm:f>0</xm:f>
              </x14:cfvo>
              <x14:cfvo type="num">
                <xm:f>1</xm:f>
              </x14:cfvo>
            </x14:dataBar>
          </x14:cfRule>
          <xm:sqref>AC29 AC16 AC42 AC55 AC68 AC81</xm:sqref>
        </x14:conditionalFormatting>
        <x14:conditionalFormatting xmlns:xm="http://schemas.microsoft.com/office/excel/2006/main">
          <x14:cfRule type="dataBar" id="{0B1BFA18-1F8F-4A6C-80A8-D5C59FBE6111}">
            <x14:dataBar minLength="0" maxLength="100" negativeBarColorSameAsPositive="1" axisPosition="none">
              <x14:cfvo type="num">
                <xm:f>0</xm:f>
              </x14:cfvo>
              <x14:cfvo type="num">
                <xm:f>1</xm:f>
              </x14:cfvo>
            </x14:dataBar>
          </x14:cfRule>
          <xm:sqref>AD4:AD15 AD17:AD28 AD30:AD41 AD43:AD54 AD56:AD67 AD69:AD80 AD82:AD84</xm:sqref>
        </x14:conditionalFormatting>
        <x14:conditionalFormatting xmlns:xm="http://schemas.microsoft.com/office/excel/2006/main">
          <x14:cfRule type="dataBar" id="{E9633AE8-9DF1-4EA6-9F8C-5F7B5FFFCAE4}">
            <x14:dataBar minLength="0" maxLength="100" negativeBarColorSameAsPositive="1" axisPosition="none">
              <x14:cfvo type="num">
                <xm:f>0</xm:f>
              </x14:cfvo>
              <x14:cfvo type="num">
                <xm:f>1</xm:f>
              </x14:cfvo>
            </x14:dataBar>
          </x14:cfRule>
          <xm:sqref>AD29 AD16 AD42 AD55 AD68 AD81</xm:sqref>
        </x14:conditionalFormatting>
        <x14:conditionalFormatting xmlns:xm="http://schemas.microsoft.com/office/excel/2006/main">
          <x14:cfRule type="dataBar" id="{C40844C9-4C31-4B34-839C-8C4CAE750B7C}">
            <x14:dataBar minLength="0" maxLength="100" negativeBarColorSameAsPositive="1" axisPosition="none">
              <x14:cfvo type="num">
                <xm:f>0</xm:f>
              </x14:cfvo>
              <x14:cfvo type="num">
                <xm:f>1</xm:f>
              </x14:cfvo>
            </x14:dataBar>
          </x14:cfRule>
          <xm:sqref>AE4:AE15 AE17:AE28 AE30:AE41 AE43:AE54 AE56:AE67 AE69:AE80 AE82:AE84</xm:sqref>
        </x14:conditionalFormatting>
        <x14:conditionalFormatting xmlns:xm="http://schemas.microsoft.com/office/excel/2006/main">
          <x14:cfRule type="dataBar" id="{B2AAF3CA-B7B2-4F0E-892E-E0FF8DF28B64}">
            <x14:dataBar minLength="0" maxLength="100" negativeBarColorSameAsPositive="1" axisPosition="none">
              <x14:cfvo type="num">
                <xm:f>0</xm:f>
              </x14:cfvo>
              <x14:cfvo type="num">
                <xm:f>1</xm:f>
              </x14:cfvo>
            </x14:dataBar>
          </x14:cfRule>
          <xm:sqref>AE29 AE16 AE42 AE55 AE68 AE81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60"/>
  <sheetViews>
    <sheetView zoomScale="70" zoomScaleNormal="70" workbookViewId="0">
      <pane xSplit="6" ySplit="3" topLeftCell="G5" activePane="bottomRight" state="frozen"/>
      <selection pane="topRight"/>
      <selection pane="bottomLeft"/>
      <selection pane="bottomRight" activeCell="E7" sqref="E7"/>
    </sheetView>
  </sheetViews>
  <sheetFormatPr baseColWidth="10" defaultColWidth="9" defaultRowHeight="14"/>
  <cols>
    <col min="1" max="2" width="6.5" customWidth="1"/>
    <col min="3" max="3" width="8.1640625" customWidth="1"/>
    <col min="4" max="4" width="6.83203125" customWidth="1"/>
    <col min="5" max="5" width="41.6640625" customWidth="1"/>
    <col min="6" max="6" width="34.1640625" customWidth="1"/>
    <col min="7" max="9" width="14.83203125" customWidth="1"/>
    <col min="10" max="10" width="14.6640625" customWidth="1"/>
    <col min="11" max="11" width="14.83203125" hidden="1" customWidth="1"/>
    <col min="12" max="12" width="14.6640625" hidden="1" customWidth="1"/>
    <col min="13" max="13" width="14.83203125" hidden="1" customWidth="1"/>
    <col min="14" max="14" width="14.6640625" customWidth="1"/>
    <col min="15" max="16" width="15.6640625" customWidth="1"/>
    <col min="17" max="17" width="14.6640625" customWidth="1"/>
    <col min="18" max="18" width="15.6640625" customWidth="1"/>
    <col min="19" max="19" width="14.6640625" customWidth="1"/>
    <col min="20" max="20" width="15.6640625" customWidth="1"/>
    <col min="21" max="21" width="14.6640625" customWidth="1"/>
    <col min="22" max="22" width="15.6640625" customWidth="1"/>
    <col min="23" max="23" width="11.83203125" customWidth="1"/>
    <col min="24" max="24" width="15.6640625" customWidth="1"/>
    <col min="25" max="25" width="11.83203125" customWidth="1"/>
    <col min="26" max="26" width="15.6640625" customWidth="1"/>
    <col min="27" max="27" width="11.83203125" customWidth="1"/>
    <col min="28" max="28" width="15.6640625" customWidth="1"/>
    <col min="29" max="31" width="11.83203125" customWidth="1"/>
    <col min="32" max="32" width="15.6640625" customWidth="1"/>
    <col min="33" max="33" width="11.83203125" customWidth="1"/>
    <col min="34" max="34" width="15.6640625" customWidth="1"/>
    <col min="35" max="35" width="11.83203125" customWidth="1"/>
    <col min="36" max="36" width="15.6640625" customWidth="1"/>
    <col min="37" max="37" width="22.6640625" customWidth="1"/>
  </cols>
  <sheetData>
    <row r="1" spans="1:37" ht="27" customHeight="1">
      <c r="A1" s="216" t="s">
        <v>152</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8"/>
    </row>
    <row r="2" spans="1:37" ht="27" customHeight="1">
      <c r="A2" s="219" t="s">
        <v>153</v>
      </c>
      <c r="B2" s="219" t="s">
        <v>4</v>
      </c>
      <c r="C2" s="219" t="s">
        <v>154</v>
      </c>
      <c r="D2" s="219" t="s">
        <v>155</v>
      </c>
      <c r="E2" s="219" t="s">
        <v>156</v>
      </c>
      <c r="F2" s="219" t="s">
        <v>157</v>
      </c>
      <c r="G2" s="219" t="s">
        <v>158</v>
      </c>
      <c r="H2" s="219" t="s">
        <v>6</v>
      </c>
      <c r="I2" s="219" t="s">
        <v>159</v>
      </c>
      <c r="J2" s="219" t="s">
        <v>160</v>
      </c>
      <c r="K2" s="219" t="s">
        <v>161</v>
      </c>
      <c r="L2" s="219" t="s">
        <v>162</v>
      </c>
      <c r="M2" s="219" t="s">
        <v>163</v>
      </c>
      <c r="N2" s="219" t="s">
        <v>164</v>
      </c>
      <c r="O2" s="219" t="s">
        <v>165</v>
      </c>
      <c r="P2" s="219" t="s">
        <v>166</v>
      </c>
      <c r="Q2" s="219" t="s">
        <v>167</v>
      </c>
      <c r="R2" s="219" t="s">
        <v>168</v>
      </c>
      <c r="S2" s="219" t="s">
        <v>169</v>
      </c>
      <c r="T2" s="219" t="s">
        <v>170</v>
      </c>
      <c r="U2" s="219" t="s">
        <v>171</v>
      </c>
      <c r="V2" s="219" t="s">
        <v>172</v>
      </c>
      <c r="W2" s="219" t="s">
        <v>173</v>
      </c>
      <c r="X2" s="219" t="s">
        <v>174</v>
      </c>
      <c r="Y2" s="219" t="s">
        <v>175</v>
      </c>
      <c r="Z2" s="219" t="s">
        <v>176</v>
      </c>
      <c r="AA2" s="219" t="s">
        <v>177</v>
      </c>
      <c r="AB2" s="219" t="s">
        <v>178</v>
      </c>
      <c r="AC2" s="219" t="s">
        <v>179</v>
      </c>
      <c r="AD2" s="219" t="s">
        <v>180</v>
      </c>
      <c r="AE2" s="219" t="s">
        <v>181</v>
      </c>
      <c r="AF2" s="219" t="s">
        <v>182</v>
      </c>
      <c r="AG2" s="219" t="s">
        <v>183</v>
      </c>
      <c r="AH2" s="219" t="s">
        <v>184</v>
      </c>
      <c r="AI2" s="219" t="s">
        <v>185</v>
      </c>
      <c r="AJ2" s="219" t="s">
        <v>186</v>
      </c>
      <c r="AK2" s="219" t="s">
        <v>19</v>
      </c>
    </row>
    <row r="3" spans="1:37" ht="27" customHeight="1">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row>
    <row r="4" spans="1:37" ht="27" customHeight="1">
      <c r="A4" s="1">
        <v>1</v>
      </c>
      <c r="B4" s="1"/>
      <c r="C4" s="1"/>
      <c r="D4" s="1"/>
      <c r="E4" s="36" t="s">
        <v>286</v>
      </c>
      <c r="F4" s="37" t="s">
        <v>287</v>
      </c>
      <c r="G4" s="1"/>
      <c r="H4" s="37">
        <v>1</v>
      </c>
      <c r="I4" s="5"/>
      <c r="J4" s="1" t="s">
        <v>198</v>
      </c>
      <c r="K4" s="5"/>
      <c r="L4" s="6"/>
      <c r="M4" s="5"/>
      <c r="N4" s="15">
        <v>44999</v>
      </c>
      <c r="O4" s="8">
        <v>0</v>
      </c>
      <c r="P4" s="9">
        <v>44964</v>
      </c>
      <c r="Q4" s="8">
        <v>0</v>
      </c>
      <c r="R4" s="9">
        <v>44964</v>
      </c>
      <c r="S4" s="8">
        <v>0</v>
      </c>
      <c r="T4" s="9">
        <v>44964</v>
      </c>
      <c r="U4" s="8">
        <v>0</v>
      </c>
      <c r="V4" s="9">
        <v>44964</v>
      </c>
      <c r="W4" s="8">
        <v>0</v>
      </c>
      <c r="X4" s="9">
        <v>44964</v>
      </c>
      <c r="Y4" s="8">
        <v>0</v>
      </c>
      <c r="Z4" s="9">
        <v>44964</v>
      </c>
      <c r="AA4" s="8">
        <v>0</v>
      </c>
      <c r="AB4" s="9">
        <v>44964</v>
      </c>
      <c r="AC4" s="8">
        <v>0</v>
      </c>
      <c r="AD4" s="8">
        <v>0</v>
      </c>
      <c r="AE4" s="8">
        <v>0</v>
      </c>
      <c r="AF4" s="9">
        <v>44964</v>
      </c>
      <c r="AG4" s="10" t="s">
        <v>189</v>
      </c>
      <c r="AH4" s="9">
        <v>44964</v>
      </c>
      <c r="AI4" s="10" t="s">
        <v>189</v>
      </c>
      <c r="AJ4" s="9">
        <v>44964</v>
      </c>
      <c r="AK4" s="5"/>
    </row>
    <row r="5" spans="1:37" ht="27" customHeight="1">
      <c r="A5" s="1">
        <v>2</v>
      </c>
      <c r="B5" s="1"/>
      <c r="C5" s="1"/>
      <c r="D5" s="1"/>
      <c r="E5" s="36" t="s">
        <v>288</v>
      </c>
      <c r="F5" s="37" t="s">
        <v>287</v>
      </c>
      <c r="G5" s="1"/>
      <c r="H5" s="37">
        <v>1</v>
      </c>
      <c r="I5" s="5"/>
      <c r="J5" s="1" t="s">
        <v>198</v>
      </c>
      <c r="K5" s="5"/>
      <c r="L5" s="6"/>
      <c r="M5" s="5"/>
      <c r="N5" s="15">
        <v>44999</v>
      </c>
      <c r="O5" s="8">
        <v>1</v>
      </c>
      <c r="P5" s="9">
        <v>44964</v>
      </c>
      <c r="Q5" s="8">
        <v>0</v>
      </c>
      <c r="R5" s="9">
        <v>44964</v>
      </c>
      <c r="S5" s="8">
        <v>0</v>
      </c>
      <c r="T5" s="9">
        <v>44964</v>
      </c>
      <c r="U5" s="8">
        <v>0</v>
      </c>
      <c r="V5" s="9">
        <v>44964</v>
      </c>
      <c r="W5" s="8">
        <v>0</v>
      </c>
      <c r="X5" s="9">
        <v>44964</v>
      </c>
      <c r="Y5" s="8">
        <v>0</v>
      </c>
      <c r="Z5" s="9">
        <v>44964</v>
      </c>
      <c r="AA5" s="8">
        <v>0</v>
      </c>
      <c r="AB5" s="9">
        <v>44964</v>
      </c>
      <c r="AC5" s="8">
        <v>0</v>
      </c>
      <c r="AD5" s="8">
        <v>0</v>
      </c>
      <c r="AE5" s="8">
        <v>0</v>
      </c>
      <c r="AF5" s="9">
        <v>44964</v>
      </c>
      <c r="AG5" s="10" t="s">
        <v>189</v>
      </c>
      <c r="AH5" s="9">
        <v>44964</v>
      </c>
      <c r="AI5" s="10" t="s">
        <v>189</v>
      </c>
      <c r="AJ5" s="9">
        <v>44964</v>
      </c>
      <c r="AK5" s="5"/>
    </row>
    <row r="6" spans="1:37" ht="27" customHeight="1">
      <c r="A6" s="1">
        <v>3</v>
      </c>
      <c r="B6" s="1"/>
      <c r="C6" s="1"/>
      <c r="D6" s="1"/>
      <c r="E6" s="13" t="s">
        <v>289</v>
      </c>
      <c r="F6" s="14" t="s">
        <v>290</v>
      </c>
      <c r="G6" s="1"/>
      <c r="H6" s="14">
        <v>1</v>
      </c>
      <c r="I6" s="5"/>
      <c r="J6" s="1" t="s">
        <v>31</v>
      </c>
      <c r="K6" s="5"/>
      <c r="L6" s="6"/>
      <c r="M6" s="5"/>
      <c r="N6" s="15">
        <v>44964</v>
      </c>
      <c r="O6" s="8">
        <v>0</v>
      </c>
      <c r="P6" s="9">
        <v>44964</v>
      </c>
      <c r="Q6" s="8">
        <v>0</v>
      </c>
      <c r="R6" s="9">
        <v>44964</v>
      </c>
      <c r="S6" s="8">
        <v>0</v>
      </c>
      <c r="T6" s="9">
        <v>44964</v>
      </c>
      <c r="U6" s="8">
        <v>0</v>
      </c>
      <c r="V6" s="9">
        <v>44964</v>
      </c>
      <c r="W6" s="8">
        <v>0</v>
      </c>
      <c r="X6" s="9">
        <v>44964</v>
      </c>
      <c r="Y6" s="8">
        <v>0</v>
      </c>
      <c r="Z6" s="9">
        <v>44964</v>
      </c>
      <c r="AA6" s="8">
        <v>0</v>
      </c>
      <c r="AB6" s="9">
        <v>44964</v>
      </c>
      <c r="AC6" s="8">
        <v>0</v>
      </c>
      <c r="AD6" s="8">
        <v>0</v>
      </c>
      <c r="AE6" s="8">
        <v>0</v>
      </c>
      <c r="AF6" s="9">
        <v>44964</v>
      </c>
      <c r="AG6" s="10" t="s">
        <v>189</v>
      </c>
      <c r="AH6" s="9">
        <v>44964</v>
      </c>
      <c r="AI6" s="10" t="s">
        <v>189</v>
      </c>
      <c r="AJ6" s="9">
        <v>44964</v>
      </c>
      <c r="AK6" s="5"/>
    </row>
    <row r="7" spans="1:37" ht="27" customHeight="1">
      <c r="A7" s="1">
        <v>4</v>
      </c>
      <c r="B7" s="5"/>
      <c r="C7" s="5"/>
      <c r="D7" s="5"/>
      <c r="E7" s="13" t="s">
        <v>291</v>
      </c>
      <c r="F7" s="14" t="s">
        <v>292</v>
      </c>
      <c r="G7" s="1"/>
      <c r="H7" s="14">
        <v>1</v>
      </c>
      <c r="I7" s="5"/>
      <c r="J7" s="1"/>
      <c r="K7" s="5"/>
      <c r="L7" s="6"/>
      <c r="M7" s="5"/>
      <c r="N7" s="15">
        <v>44964</v>
      </c>
      <c r="O7" s="8">
        <v>0</v>
      </c>
      <c r="P7" s="9">
        <v>44964</v>
      </c>
      <c r="Q7" s="8">
        <v>0</v>
      </c>
      <c r="R7" s="9">
        <v>44964</v>
      </c>
      <c r="S7" s="8">
        <v>0</v>
      </c>
      <c r="T7" s="9">
        <v>44964</v>
      </c>
      <c r="U7" s="8">
        <v>0</v>
      </c>
      <c r="V7" s="9">
        <v>44964</v>
      </c>
      <c r="W7" s="8">
        <v>0</v>
      </c>
      <c r="X7" s="9">
        <v>44964</v>
      </c>
      <c r="Y7" s="8">
        <v>0</v>
      </c>
      <c r="Z7" s="9">
        <v>44964</v>
      </c>
      <c r="AA7" s="8">
        <v>0</v>
      </c>
      <c r="AB7" s="9">
        <v>44964</v>
      </c>
      <c r="AC7" s="8">
        <v>0</v>
      </c>
      <c r="AD7" s="8">
        <v>0</v>
      </c>
      <c r="AE7" s="8">
        <v>0</v>
      </c>
      <c r="AF7" s="9">
        <v>44964</v>
      </c>
      <c r="AG7" s="10" t="s">
        <v>189</v>
      </c>
      <c r="AH7" s="9">
        <v>44964</v>
      </c>
      <c r="AI7" s="10" t="s">
        <v>189</v>
      </c>
      <c r="AJ7" s="9">
        <v>44964</v>
      </c>
      <c r="AK7" s="5"/>
    </row>
    <row r="8" spans="1:37" ht="27" customHeight="1">
      <c r="A8" s="1">
        <v>5</v>
      </c>
      <c r="B8" s="5"/>
      <c r="C8" s="5"/>
      <c r="D8" s="5"/>
      <c r="E8" s="13" t="s">
        <v>293</v>
      </c>
      <c r="F8" s="14" t="s">
        <v>211</v>
      </c>
      <c r="G8" s="1"/>
      <c r="H8" s="14">
        <v>1</v>
      </c>
      <c r="I8" s="5"/>
      <c r="J8" s="1" t="s">
        <v>30</v>
      </c>
      <c r="K8" s="5"/>
      <c r="L8" s="6"/>
      <c r="M8" s="5"/>
      <c r="N8" s="15">
        <v>44964</v>
      </c>
      <c r="O8" s="8">
        <v>0</v>
      </c>
      <c r="P8" s="9">
        <v>44964</v>
      </c>
      <c r="Q8" s="8">
        <v>0</v>
      </c>
      <c r="R8" s="9">
        <v>44964</v>
      </c>
      <c r="S8" s="8">
        <v>0</v>
      </c>
      <c r="T8" s="9">
        <v>44964</v>
      </c>
      <c r="U8" s="8">
        <v>0</v>
      </c>
      <c r="V8" s="9">
        <v>44964</v>
      </c>
      <c r="W8" s="8">
        <v>0</v>
      </c>
      <c r="X8" s="9">
        <v>44964</v>
      </c>
      <c r="Y8" s="8">
        <v>0</v>
      </c>
      <c r="Z8" s="9">
        <v>44964</v>
      </c>
      <c r="AA8" s="8">
        <v>0</v>
      </c>
      <c r="AB8" s="9">
        <v>44964</v>
      </c>
      <c r="AC8" s="8">
        <v>0</v>
      </c>
      <c r="AD8" s="8">
        <v>0</v>
      </c>
      <c r="AE8" s="8">
        <v>0</v>
      </c>
      <c r="AF8" s="9">
        <v>44964</v>
      </c>
      <c r="AG8" s="10" t="s">
        <v>189</v>
      </c>
      <c r="AH8" s="9">
        <v>44964</v>
      </c>
      <c r="AI8" s="10" t="s">
        <v>189</v>
      </c>
      <c r="AJ8" s="9">
        <v>44964</v>
      </c>
      <c r="AK8" s="5"/>
    </row>
    <row r="9" spans="1:37" ht="27" customHeight="1">
      <c r="A9" s="1">
        <v>6</v>
      </c>
      <c r="B9" s="5"/>
      <c r="C9" s="5"/>
      <c r="D9" s="5"/>
      <c r="E9" s="13"/>
      <c r="F9" s="14" t="s">
        <v>208</v>
      </c>
      <c r="G9" s="1"/>
      <c r="H9" s="14">
        <v>2</v>
      </c>
      <c r="I9" s="5"/>
      <c r="J9" s="1"/>
      <c r="K9" s="5"/>
      <c r="L9" s="6"/>
      <c r="M9" s="5"/>
      <c r="N9" s="15">
        <v>44964</v>
      </c>
      <c r="O9" s="8">
        <v>0</v>
      </c>
      <c r="P9" s="9">
        <v>44964</v>
      </c>
      <c r="Q9" s="8">
        <v>0</v>
      </c>
      <c r="R9" s="9">
        <v>44964</v>
      </c>
      <c r="S9" s="8">
        <v>0</v>
      </c>
      <c r="T9" s="9">
        <v>44964</v>
      </c>
      <c r="U9" s="8">
        <v>0</v>
      </c>
      <c r="V9" s="9">
        <v>44964</v>
      </c>
      <c r="W9" s="8">
        <v>0</v>
      </c>
      <c r="X9" s="9">
        <v>44964</v>
      </c>
      <c r="Y9" s="8">
        <v>0</v>
      </c>
      <c r="Z9" s="9">
        <v>44964</v>
      </c>
      <c r="AA9" s="8">
        <v>0</v>
      </c>
      <c r="AB9" s="9">
        <v>44964</v>
      </c>
      <c r="AC9" s="8">
        <v>0</v>
      </c>
      <c r="AD9" s="8">
        <v>0</v>
      </c>
      <c r="AE9" s="8">
        <v>0</v>
      </c>
      <c r="AF9" s="9">
        <v>44964</v>
      </c>
      <c r="AG9" s="10" t="s">
        <v>189</v>
      </c>
      <c r="AH9" s="9">
        <v>44964</v>
      </c>
      <c r="AI9" s="10" t="s">
        <v>189</v>
      </c>
      <c r="AJ9" s="9">
        <v>44964</v>
      </c>
      <c r="AK9" s="5"/>
    </row>
    <row r="10" spans="1:37" ht="27" customHeight="1">
      <c r="A10" s="1">
        <v>7</v>
      </c>
      <c r="B10" s="5"/>
      <c r="C10" s="5"/>
      <c r="D10" s="5"/>
      <c r="E10" s="13" t="s">
        <v>294</v>
      </c>
      <c r="F10" s="37" t="s">
        <v>287</v>
      </c>
      <c r="G10" s="1"/>
      <c r="H10" s="37">
        <v>1</v>
      </c>
      <c r="I10" s="5"/>
      <c r="J10" s="1" t="s">
        <v>198</v>
      </c>
      <c r="K10" s="5"/>
      <c r="L10" s="6"/>
      <c r="M10" s="5"/>
      <c r="N10" s="15">
        <v>44999</v>
      </c>
      <c r="O10" s="8">
        <v>0</v>
      </c>
      <c r="P10" s="9">
        <v>44964</v>
      </c>
      <c r="Q10" s="8">
        <v>0</v>
      </c>
      <c r="R10" s="9">
        <v>44964</v>
      </c>
      <c r="S10" s="8">
        <v>0</v>
      </c>
      <c r="T10" s="9">
        <v>44964</v>
      </c>
      <c r="U10" s="8">
        <v>0</v>
      </c>
      <c r="V10" s="9">
        <v>44964</v>
      </c>
      <c r="W10" s="8">
        <v>0</v>
      </c>
      <c r="X10" s="9">
        <v>44964</v>
      </c>
      <c r="Y10" s="8">
        <v>0</v>
      </c>
      <c r="Z10" s="9">
        <v>44964</v>
      </c>
      <c r="AA10" s="8">
        <v>0</v>
      </c>
      <c r="AB10" s="9">
        <v>44964</v>
      </c>
      <c r="AC10" s="8">
        <v>0</v>
      </c>
      <c r="AD10" s="8">
        <v>0</v>
      </c>
      <c r="AE10" s="8">
        <v>0</v>
      </c>
      <c r="AF10" s="9">
        <v>44964</v>
      </c>
      <c r="AG10" s="10" t="s">
        <v>189</v>
      </c>
      <c r="AH10" s="9">
        <v>44964</v>
      </c>
      <c r="AI10" s="10" t="s">
        <v>189</v>
      </c>
      <c r="AJ10" s="9">
        <v>44964</v>
      </c>
      <c r="AK10" s="5"/>
    </row>
    <row r="11" spans="1:37" ht="27" customHeight="1">
      <c r="A11" s="1">
        <v>8</v>
      </c>
      <c r="B11" s="5"/>
      <c r="C11" s="5"/>
      <c r="D11" s="5"/>
      <c r="E11" s="13" t="s">
        <v>295</v>
      </c>
      <c r="F11" s="37" t="s">
        <v>287</v>
      </c>
      <c r="G11" s="1"/>
      <c r="H11" s="37">
        <v>1</v>
      </c>
      <c r="I11" s="5"/>
      <c r="J11" s="1" t="s">
        <v>198</v>
      </c>
      <c r="K11" s="5"/>
      <c r="L11" s="6"/>
      <c r="M11" s="5"/>
      <c r="N11" s="15">
        <v>44999</v>
      </c>
      <c r="O11" s="8">
        <v>1</v>
      </c>
      <c r="P11" s="9">
        <v>44964</v>
      </c>
      <c r="Q11" s="8">
        <v>0</v>
      </c>
      <c r="R11" s="9">
        <v>44964</v>
      </c>
      <c r="S11" s="8">
        <v>0</v>
      </c>
      <c r="T11" s="9">
        <v>44964</v>
      </c>
      <c r="U11" s="8">
        <v>0</v>
      </c>
      <c r="V11" s="9">
        <v>44964</v>
      </c>
      <c r="W11" s="8">
        <v>0</v>
      </c>
      <c r="X11" s="9">
        <v>44964</v>
      </c>
      <c r="Y11" s="8">
        <v>0</v>
      </c>
      <c r="Z11" s="9">
        <v>44964</v>
      </c>
      <c r="AA11" s="8">
        <v>0</v>
      </c>
      <c r="AB11" s="9">
        <v>44964</v>
      </c>
      <c r="AC11" s="8">
        <v>0</v>
      </c>
      <c r="AD11" s="8">
        <v>0</v>
      </c>
      <c r="AE11" s="8">
        <v>0</v>
      </c>
      <c r="AF11" s="9">
        <v>44964</v>
      </c>
      <c r="AG11" s="10" t="s">
        <v>189</v>
      </c>
      <c r="AH11" s="9">
        <v>44964</v>
      </c>
      <c r="AI11" s="10" t="s">
        <v>189</v>
      </c>
      <c r="AJ11" s="9">
        <v>44964</v>
      </c>
      <c r="AK11" s="5"/>
    </row>
    <row r="12" spans="1:37" ht="27" customHeight="1">
      <c r="A12" s="1">
        <v>9</v>
      </c>
      <c r="B12" s="5"/>
      <c r="C12" s="5"/>
      <c r="D12" s="5"/>
      <c r="E12" s="13" t="s">
        <v>296</v>
      </c>
      <c r="F12" s="14" t="s">
        <v>290</v>
      </c>
      <c r="G12" s="1"/>
      <c r="H12" s="14">
        <v>1</v>
      </c>
      <c r="I12" s="5"/>
      <c r="J12" s="1" t="s">
        <v>31</v>
      </c>
      <c r="K12" s="5"/>
      <c r="L12" s="6"/>
      <c r="M12" s="5"/>
      <c r="N12" s="15">
        <v>44964</v>
      </c>
      <c r="O12" s="8">
        <v>0</v>
      </c>
      <c r="P12" s="9">
        <v>44964</v>
      </c>
      <c r="Q12" s="8">
        <v>0</v>
      </c>
      <c r="R12" s="9">
        <v>44964</v>
      </c>
      <c r="S12" s="8">
        <v>0</v>
      </c>
      <c r="T12" s="9">
        <v>44964</v>
      </c>
      <c r="U12" s="8">
        <v>0</v>
      </c>
      <c r="V12" s="9">
        <v>44964</v>
      </c>
      <c r="W12" s="8">
        <v>0</v>
      </c>
      <c r="X12" s="9">
        <v>44964</v>
      </c>
      <c r="Y12" s="8">
        <v>0</v>
      </c>
      <c r="Z12" s="9">
        <v>44964</v>
      </c>
      <c r="AA12" s="8">
        <v>0</v>
      </c>
      <c r="AB12" s="9">
        <v>44964</v>
      </c>
      <c r="AC12" s="8">
        <v>0</v>
      </c>
      <c r="AD12" s="8">
        <v>0</v>
      </c>
      <c r="AE12" s="8">
        <v>0</v>
      </c>
      <c r="AF12" s="9">
        <v>44964</v>
      </c>
      <c r="AG12" s="10" t="s">
        <v>189</v>
      </c>
      <c r="AH12" s="9">
        <v>44964</v>
      </c>
      <c r="AI12" s="10" t="s">
        <v>189</v>
      </c>
      <c r="AJ12" s="9">
        <v>44964</v>
      </c>
      <c r="AK12" s="5"/>
    </row>
    <row r="13" spans="1:37" ht="27" customHeight="1">
      <c r="A13" s="1">
        <v>10</v>
      </c>
      <c r="B13" s="5"/>
      <c r="C13" s="5"/>
      <c r="D13" s="5"/>
      <c r="E13" s="13" t="s">
        <v>297</v>
      </c>
      <c r="F13" s="14" t="s">
        <v>292</v>
      </c>
      <c r="G13" s="1"/>
      <c r="H13" s="14">
        <v>1</v>
      </c>
      <c r="I13" s="5"/>
      <c r="J13" s="1"/>
      <c r="K13" s="5"/>
      <c r="L13" s="6"/>
      <c r="M13" s="5"/>
      <c r="N13" s="15">
        <v>44964</v>
      </c>
      <c r="O13" s="8">
        <v>0</v>
      </c>
      <c r="P13" s="9">
        <v>44964</v>
      </c>
      <c r="Q13" s="8">
        <v>0</v>
      </c>
      <c r="R13" s="9">
        <v>44964</v>
      </c>
      <c r="S13" s="8">
        <v>0</v>
      </c>
      <c r="T13" s="9">
        <v>44964</v>
      </c>
      <c r="U13" s="8">
        <v>0</v>
      </c>
      <c r="V13" s="9">
        <v>44964</v>
      </c>
      <c r="W13" s="8">
        <v>0</v>
      </c>
      <c r="X13" s="9">
        <v>44964</v>
      </c>
      <c r="Y13" s="8">
        <v>0</v>
      </c>
      <c r="Z13" s="9">
        <v>44964</v>
      </c>
      <c r="AA13" s="8">
        <v>0</v>
      </c>
      <c r="AB13" s="9">
        <v>44964</v>
      </c>
      <c r="AC13" s="8">
        <v>0</v>
      </c>
      <c r="AD13" s="8">
        <v>0</v>
      </c>
      <c r="AE13" s="8">
        <v>0</v>
      </c>
      <c r="AF13" s="9">
        <v>44964</v>
      </c>
      <c r="AG13" s="10" t="s">
        <v>189</v>
      </c>
      <c r="AH13" s="9">
        <v>44964</v>
      </c>
      <c r="AI13" s="10" t="s">
        <v>189</v>
      </c>
      <c r="AJ13" s="9">
        <v>44964</v>
      </c>
      <c r="AK13" s="5"/>
    </row>
    <row r="14" spans="1:37" ht="27" customHeight="1">
      <c r="A14" s="1">
        <v>11</v>
      </c>
      <c r="B14" s="5"/>
      <c r="C14" s="5"/>
      <c r="D14" s="5"/>
      <c r="E14" s="13" t="s">
        <v>298</v>
      </c>
      <c r="F14" s="14" t="s">
        <v>211</v>
      </c>
      <c r="G14" s="1"/>
      <c r="H14" s="14">
        <v>1</v>
      </c>
      <c r="I14" s="5"/>
      <c r="J14" s="1" t="s">
        <v>30</v>
      </c>
      <c r="K14" s="5"/>
      <c r="L14" s="6"/>
      <c r="M14" s="5"/>
      <c r="N14" s="15">
        <v>44964</v>
      </c>
      <c r="O14" s="8">
        <v>0</v>
      </c>
      <c r="P14" s="9">
        <v>44964</v>
      </c>
      <c r="Q14" s="8">
        <v>0</v>
      </c>
      <c r="R14" s="9">
        <v>44964</v>
      </c>
      <c r="S14" s="8">
        <v>0</v>
      </c>
      <c r="T14" s="9">
        <v>44964</v>
      </c>
      <c r="U14" s="8">
        <v>0</v>
      </c>
      <c r="V14" s="9">
        <v>44964</v>
      </c>
      <c r="W14" s="8">
        <v>0</v>
      </c>
      <c r="X14" s="9">
        <v>44964</v>
      </c>
      <c r="Y14" s="8">
        <v>0</v>
      </c>
      <c r="Z14" s="9">
        <v>44964</v>
      </c>
      <c r="AA14" s="8">
        <v>0</v>
      </c>
      <c r="AB14" s="9">
        <v>44964</v>
      </c>
      <c r="AC14" s="8">
        <v>0</v>
      </c>
      <c r="AD14" s="8">
        <v>0</v>
      </c>
      <c r="AE14" s="8">
        <v>0</v>
      </c>
      <c r="AF14" s="9">
        <v>44964</v>
      </c>
      <c r="AG14" s="10" t="s">
        <v>189</v>
      </c>
      <c r="AH14" s="9">
        <v>44964</v>
      </c>
      <c r="AI14" s="10" t="s">
        <v>189</v>
      </c>
      <c r="AJ14" s="9">
        <v>44964</v>
      </c>
      <c r="AK14" s="5"/>
    </row>
    <row r="15" spans="1:37" ht="27" customHeight="1">
      <c r="A15" s="1">
        <v>12</v>
      </c>
      <c r="B15" s="5"/>
      <c r="C15" s="5"/>
      <c r="D15" s="5"/>
      <c r="E15" s="13"/>
      <c r="F15" s="14" t="s">
        <v>208</v>
      </c>
      <c r="G15" s="1"/>
      <c r="H15" s="14">
        <v>2</v>
      </c>
      <c r="I15" s="5"/>
      <c r="J15" s="1"/>
      <c r="K15" s="5"/>
      <c r="L15" s="6"/>
      <c r="M15" s="5"/>
      <c r="N15" s="15">
        <v>44964</v>
      </c>
      <c r="O15" s="8">
        <v>0</v>
      </c>
      <c r="P15" s="9">
        <v>44964</v>
      </c>
      <c r="Q15" s="8">
        <v>0</v>
      </c>
      <c r="R15" s="9">
        <v>44964</v>
      </c>
      <c r="S15" s="8">
        <v>0</v>
      </c>
      <c r="T15" s="9">
        <v>44964</v>
      </c>
      <c r="U15" s="8">
        <v>0</v>
      </c>
      <c r="V15" s="9">
        <v>44964</v>
      </c>
      <c r="W15" s="8">
        <v>0</v>
      </c>
      <c r="X15" s="9">
        <v>44964</v>
      </c>
      <c r="Y15" s="8">
        <v>0</v>
      </c>
      <c r="Z15" s="9">
        <v>44964</v>
      </c>
      <c r="AA15" s="8">
        <v>0</v>
      </c>
      <c r="AB15" s="9">
        <v>44964</v>
      </c>
      <c r="AC15" s="8">
        <v>0</v>
      </c>
      <c r="AD15" s="8">
        <v>0</v>
      </c>
      <c r="AE15" s="8">
        <v>0</v>
      </c>
      <c r="AF15" s="9">
        <v>44964</v>
      </c>
      <c r="AG15" s="10" t="s">
        <v>189</v>
      </c>
      <c r="AH15" s="9">
        <v>44964</v>
      </c>
      <c r="AI15" s="10" t="s">
        <v>189</v>
      </c>
      <c r="AJ15" s="9">
        <v>44964</v>
      </c>
      <c r="AK15" s="5"/>
    </row>
    <row r="16" spans="1:37" ht="27" customHeight="1">
      <c r="A16" s="1">
        <v>13</v>
      </c>
      <c r="B16" s="5"/>
      <c r="C16" s="5"/>
      <c r="D16" s="5"/>
      <c r="E16" s="13" t="s">
        <v>299</v>
      </c>
      <c r="F16" s="14" t="s">
        <v>287</v>
      </c>
      <c r="G16" s="1"/>
      <c r="H16" s="14">
        <v>1</v>
      </c>
      <c r="I16" s="5"/>
      <c r="J16" s="1" t="s">
        <v>198</v>
      </c>
      <c r="K16" s="5"/>
      <c r="L16" s="6"/>
      <c r="M16" s="5"/>
      <c r="N16" s="15">
        <v>44999</v>
      </c>
      <c r="O16" s="8">
        <v>1</v>
      </c>
      <c r="P16" s="9">
        <v>44964</v>
      </c>
      <c r="Q16" s="8">
        <v>0</v>
      </c>
      <c r="R16" s="9">
        <v>44964</v>
      </c>
      <c r="S16" s="8">
        <v>0</v>
      </c>
      <c r="T16" s="9">
        <v>44964</v>
      </c>
      <c r="U16" s="8">
        <v>0</v>
      </c>
      <c r="V16" s="9">
        <v>44964</v>
      </c>
      <c r="W16" s="8">
        <v>0</v>
      </c>
      <c r="X16" s="9">
        <v>44964</v>
      </c>
      <c r="Y16" s="8">
        <v>0</v>
      </c>
      <c r="Z16" s="9">
        <v>44964</v>
      </c>
      <c r="AA16" s="8">
        <v>0</v>
      </c>
      <c r="AB16" s="9">
        <v>44964</v>
      </c>
      <c r="AC16" s="8">
        <v>0</v>
      </c>
      <c r="AD16" s="8">
        <v>0</v>
      </c>
      <c r="AE16" s="8">
        <v>0</v>
      </c>
      <c r="AF16" s="9">
        <v>44964</v>
      </c>
      <c r="AG16" s="10" t="s">
        <v>189</v>
      </c>
      <c r="AH16" s="9">
        <v>44964</v>
      </c>
      <c r="AI16" s="10" t="s">
        <v>189</v>
      </c>
      <c r="AJ16" s="9">
        <v>44964</v>
      </c>
      <c r="AK16" s="5"/>
    </row>
    <row r="17" spans="1:37" ht="27" customHeight="1">
      <c r="A17" s="1">
        <v>14</v>
      </c>
      <c r="B17" s="5"/>
      <c r="C17" s="5"/>
      <c r="D17" s="5"/>
      <c r="E17" s="13" t="s">
        <v>300</v>
      </c>
      <c r="F17" s="14" t="s">
        <v>287</v>
      </c>
      <c r="G17" s="1"/>
      <c r="H17" s="14">
        <v>1</v>
      </c>
      <c r="I17" s="5"/>
      <c r="J17" s="1" t="s">
        <v>198</v>
      </c>
      <c r="K17" s="5"/>
      <c r="L17" s="6"/>
      <c r="M17" s="5"/>
      <c r="N17" s="15">
        <v>44999</v>
      </c>
      <c r="O17" s="8">
        <v>1</v>
      </c>
      <c r="P17" s="9">
        <v>44964</v>
      </c>
      <c r="Q17" s="8">
        <v>0</v>
      </c>
      <c r="R17" s="9">
        <v>44964</v>
      </c>
      <c r="S17" s="8">
        <v>0</v>
      </c>
      <c r="T17" s="9">
        <v>44964</v>
      </c>
      <c r="U17" s="8">
        <v>0</v>
      </c>
      <c r="V17" s="9">
        <v>44964</v>
      </c>
      <c r="W17" s="8">
        <v>0</v>
      </c>
      <c r="X17" s="9">
        <v>44964</v>
      </c>
      <c r="Y17" s="8">
        <v>0</v>
      </c>
      <c r="Z17" s="9">
        <v>44964</v>
      </c>
      <c r="AA17" s="8">
        <v>0</v>
      </c>
      <c r="AB17" s="9">
        <v>44964</v>
      </c>
      <c r="AC17" s="8">
        <v>0</v>
      </c>
      <c r="AD17" s="8">
        <v>0</v>
      </c>
      <c r="AE17" s="8">
        <v>0</v>
      </c>
      <c r="AF17" s="9">
        <v>44964</v>
      </c>
      <c r="AG17" s="10" t="s">
        <v>189</v>
      </c>
      <c r="AH17" s="9">
        <v>44964</v>
      </c>
      <c r="AI17" s="10" t="s">
        <v>189</v>
      </c>
      <c r="AJ17" s="9">
        <v>44964</v>
      </c>
      <c r="AK17" s="5"/>
    </row>
    <row r="18" spans="1:37" ht="27" customHeight="1">
      <c r="A18" s="1">
        <v>15</v>
      </c>
      <c r="B18" s="5"/>
      <c r="C18" s="5"/>
      <c r="D18" s="5"/>
      <c r="E18" s="13"/>
      <c r="F18" s="14" t="s">
        <v>301</v>
      </c>
      <c r="G18" s="1"/>
      <c r="H18" s="14">
        <v>2</v>
      </c>
      <c r="I18" s="5"/>
      <c r="J18" s="1"/>
      <c r="K18" s="5"/>
      <c r="L18" s="6"/>
      <c r="M18" s="5"/>
      <c r="N18" s="15">
        <v>44964</v>
      </c>
      <c r="O18" s="8">
        <v>0</v>
      </c>
      <c r="P18" s="9">
        <v>44964</v>
      </c>
      <c r="Q18" s="8">
        <v>0</v>
      </c>
      <c r="R18" s="9">
        <v>44964</v>
      </c>
      <c r="S18" s="8">
        <v>0</v>
      </c>
      <c r="T18" s="9">
        <v>44964</v>
      </c>
      <c r="U18" s="8">
        <v>0</v>
      </c>
      <c r="V18" s="9">
        <v>44964</v>
      </c>
      <c r="W18" s="8">
        <v>0</v>
      </c>
      <c r="X18" s="9">
        <v>44964</v>
      </c>
      <c r="Y18" s="8">
        <v>0</v>
      </c>
      <c r="Z18" s="9">
        <v>44964</v>
      </c>
      <c r="AA18" s="8">
        <v>0</v>
      </c>
      <c r="AB18" s="9">
        <v>44964</v>
      </c>
      <c r="AC18" s="8">
        <v>0</v>
      </c>
      <c r="AD18" s="8">
        <v>0</v>
      </c>
      <c r="AE18" s="8">
        <v>0</v>
      </c>
      <c r="AF18" s="9">
        <v>44964</v>
      </c>
      <c r="AG18" s="10" t="s">
        <v>189</v>
      </c>
      <c r="AH18" s="9">
        <v>44964</v>
      </c>
      <c r="AI18" s="10" t="s">
        <v>189</v>
      </c>
      <c r="AJ18" s="9">
        <v>44964</v>
      </c>
      <c r="AK18" s="5"/>
    </row>
    <row r="19" spans="1:37" ht="27" customHeight="1">
      <c r="A19" s="1">
        <v>16</v>
      </c>
      <c r="B19" s="5"/>
      <c r="C19" s="5"/>
      <c r="D19" s="5"/>
      <c r="E19" s="13" t="s">
        <v>302</v>
      </c>
      <c r="F19" s="14" t="s">
        <v>211</v>
      </c>
      <c r="G19" s="1"/>
      <c r="H19" s="14">
        <v>1</v>
      </c>
      <c r="I19" s="5"/>
      <c r="J19" s="1" t="s">
        <v>30</v>
      </c>
      <c r="K19" s="5"/>
      <c r="L19" s="6"/>
      <c r="M19" s="5"/>
      <c r="N19" s="15">
        <v>44964</v>
      </c>
      <c r="O19" s="8">
        <v>0</v>
      </c>
      <c r="P19" s="9">
        <v>44964</v>
      </c>
      <c r="Q19" s="8">
        <v>0</v>
      </c>
      <c r="R19" s="9">
        <v>44964</v>
      </c>
      <c r="S19" s="8">
        <v>0</v>
      </c>
      <c r="T19" s="9">
        <v>44964</v>
      </c>
      <c r="U19" s="8">
        <v>0</v>
      </c>
      <c r="V19" s="9">
        <v>44964</v>
      </c>
      <c r="W19" s="8">
        <v>0</v>
      </c>
      <c r="X19" s="9">
        <v>44964</v>
      </c>
      <c r="Y19" s="8">
        <v>0</v>
      </c>
      <c r="Z19" s="9">
        <v>44964</v>
      </c>
      <c r="AA19" s="8">
        <v>0</v>
      </c>
      <c r="AB19" s="9">
        <v>44964</v>
      </c>
      <c r="AC19" s="8">
        <v>0</v>
      </c>
      <c r="AD19" s="8">
        <v>0</v>
      </c>
      <c r="AE19" s="8">
        <v>0</v>
      </c>
      <c r="AF19" s="9">
        <v>44964</v>
      </c>
      <c r="AG19" s="10" t="s">
        <v>189</v>
      </c>
      <c r="AH19" s="9">
        <v>44964</v>
      </c>
      <c r="AI19" s="10" t="s">
        <v>189</v>
      </c>
      <c r="AJ19" s="9">
        <v>44964</v>
      </c>
      <c r="AK19" s="5"/>
    </row>
    <row r="20" spans="1:37" ht="27" customHeight="1">
      <c r="A20" s="1">
        <v>17</v>
      </c>
      <c r="B20" s="5"/>
      <c r="C20" s="5"/>
      <c r="D20" s="5"/>
      <c r="E20" s="13" t="s">
        <v>303</v>
      </c>
      <c r="F20" s="14" t="s">
        <v>211</v>
      </c>
      <c r="G20" s="1"/>
      <c r="H20" s="14">
        <v>1</v>
      </c>
      <c r="I20" s="5"/>
      <c r="J20" s="1" t="s">
        <v>30</v>
      </c>
      <c r="K20" s="5"/>
      <c r="L20" s="6"/>
      <c r="M20" s="5"/>
      <c r="N20" s="15">
        <v>44964</v>
      </c>
      <c r="O20" s="8">
        <v>0</v>
      </c>
      <c r="P20" s="9">
        <v>44964</v>
      </c>
      <c r="Q20" s="8">
        <v>0</v>
      </c>
      <c r="R20" s="9">
        <v>44964</v>
      </c>
      <c r="S20" s="8">
        <v>0</v>
      </c>
      <c r="T20" s="9">
        <v>44964</v>
      </c>
      <c r="U20" s="8">
        <v>0</v>
      </c>
      <c r="V20" s="9">
        <v>44964</v>
      </c>
      <c r="W20" s="8">
        <v>0</v>
      </c>
      <c r="X20" s="9">
        <v>44964</v>
      </c>
      <c r="Y20" s="8">
        <v>0</v>
      </c>
      <c r="Z20" s="9">
        <v>44964</v>
      </c>
      <c r="AA20" s="8">
        <v>0</v>
      </c>
      <c r="AB20" s="9">
        <v>44964</v>
      </c>
      <c r="AC20" s="8">
        <v>0</v>
      </c>
      <c r="AD20" s="8">
        <v>0</v>
      </c>
      <c r="AE20" s="8">
        <v>0</v>
      </c>
      <c r="AF20" s="9">
        <v>44964</v>
      </c>
      <c r="AG20" s="10" t="s">
        <v>189</v>
      </c>
      <c r="AH20" s="9">
        <v>44964</v>
      </c>
      <c r="AI20" s="10" t="s">
        <v>189</v>
      </c>
      <c r="AJ20" s="9">
        <v>44964</v>
      </c>
      <c r="AK20" s="5"/>
    </row>
    <row r="21" spans="1:37" ht="27" customHeight="1">
      <c r="A21" s="1">
        <v>18</v>
      </c>
      <c r="B21" s="5"/>
      <c r="C21" s="5"/>
      <c r="D21" s="5"/>
      <c r="E21" s="13"/>
      <c r="F21" s="14" t="s">
        <v>208</v>
      </c>
      <c r="G21" s="1"/>
      <c r="H21" s="14">
        <v>1</v>
      </c>
      <c r="I21" s="5"/>
      <c r="J21" s="1"/>
      <c r="K21" s="5"/>
      <c r="L21" s="6"/>
      <c r="M21" s="5"/>
      <c r="N21" s="15">
        <v>44964</v>
      </c>
      <c r="O21" s="8">
        <v>0</v>
      </c>
      <c r="P21" s="9">
        <v>44964</v>
      </c>
      <c r="Q21" s="8">
        <v>0</v>
      </c>
      <c r="R21" s="9">
        <v>44964</v>
      </c>
      <c r="S21" s="8">
        <v>0</v>
      </c>
      <c r="T21" s="9">
        <v>44964</v>
      </c>
      <c r="U21" s="8">
        <v>0</v>
      </c>
      <c r="V21" s="9">
        <v>44964</v>
      </c>
      <c r="W21" s="8">
        <v>0</v>
      </c>
      <c r="X21" s="9">
        <v>44964</v>
      </c>
      <c r="Y21" s="8">
        <v>0</v>
      </c>
      <c r="Z21" s="9">
        <v>44964</v>
      </c>
      <c r="AA21" s="8">
        <v>0</v>
      </c>
      <c r="AB21" s="9">
        <v>44964</v>
      </c>
      <c r="AC21" s="8">
        <v>0</v>
      </c>
      <c r="AD21" s="8">
        <v>0</v>
      </c>
      <c r="AE21" s="8">
        <v>0</v>
      </c>
      <c r="AF21" s="9">
        <v>44964</v>
      </c>
      <c r="AG21" s="10" t="s">
        <v>189</v>
      </c>
      <c r="AH21" s="9">
        <v>44964</v>
      </c>
      <c r="AI21" s="10" t="s">
        <v>189</v>
      </c>
      <c r="AJ21" s="9">
        <v>44964</v>
      </c>
      <c r="AK21" s="5"/>
    </row>
    <row r="22" spans="1:37" ht="27" customHeight="1">
      <c r="A22" s="1">
        <v>19</v>
      </c>
      <c r="B22" s="5"/>
      <c r="C22" s="5"/>
      <c r="D22" s="5"/>
      <c r="E22" s="13" t="s">
        <v>304</v>
      </c>
      <c r="F22" s="14" t="s">
        <v>287</v>
      </c>
      <c r="G22" s="1"/>
      <c r="H22" s="14">
        <v>1</v>
      </c>
      <c r="I22" s="5"/>
      <c r="J22" s="1" t="s">
        <v>198</v>
      </c>
      <c r="K22" s="5"/>
      <c r="L22" s="6"/>
      <c r="M22" s="5"/>
      <c r="N22" s="15">
        <v>44999</v>
      </c>
      <c r="O22" s="8">
        <v>1</v>
      </c>
      <c r="P22" s="9">
        <v>44964</v>
      </c>
      <c r="Q22" s="8">
        <v>0</v>
      </c>
      <c r="R22" s="9">
        <v>44964</v>
      </c>
      <c r="S22" s="8">
        <v>0</v>
      </c>
      <c r="T22" s="9">
        <v>44964</v>
      </c>
      <c r="U22" s="8">
        <v>0</v>
      </c>
      <c r="V22" s="9">
        <v>44964</v>
      </c>
      <c r="W22" s="8">
        <v>0</v>
      </c>
      <c r="X22" s="9">
        <v>44964</v>
      </c>
      <c r="Y22" s="8">
        <v>0</v>
      </c>
      <c r="Z22" s="9">
        <v>44964</v>
      </c>
      <c r="AA22" s="8">
        <v>0</v>
      </c>
      <c r="AB22" s="9">
        <v>44964</v>
      </c>
      <c r="AC22" s="8">
        <v>0</v>
      </c>
      <c r="AD22" s="8">
        <v>0</v>
      </c>
      <c r="AE22" s="8">
        <v>0</v>
      </c>
      <c r="AF22" s="9">
        <v>44964</v>
      </c>
      <c r="AG22" s="10" t="s">
        <v>189</v>
      </c>
      <c r="AH22" s="9">
        <v>44964</v>
      </c>
      <c r="AI22" s="10" t="s">
        <v>189</v>
      </c>
      <c r="AJ22" s="9">
        <v>44964</v>
      </c>
      <c r="AK22" s="5"/>
    </row>
    <row r="23" spans="1:37" ht="27" customHeight="1">
      <c r="A23" s="1">
        <v>20</v>
      </c>
      <c r="B23" s="5"/>
      <c r="C23" s="5"/>
      <c r="D23" s="5"/>
      <c r="E23" s="13" t="s">
        <v>305</v>
      </c>
      <c r="F23" s="14" t="s">
        <v>287</v>
      </c>
      <c r="G23" s="1"/>
      <c r="H23" s="14">
        <v>1</v>
      </c>
      <c r="I23" s="5"/>
      <c r="J23" s="1" t="s">
        <v>198</v>
      </c>
      <c r="K23" s="5"/>
      <c r="L23" s="6"/>
      <c r="M23" s="5"/>
      <c r="N23" s="15">
        <v>44998</v>
      </c>
      <c r="O23" s="8">
        <v>1</v>
      </c>
      <c r="P23" s="9">
        <v>44964</v>
      </c>
      <c r="Q23" s="8">
        <v>0</v>
      </c>
      <c r="R23" s="9">
        <v>44964</v>
      </c>
      <c r="S23" s="8">
        <v>0</v>
      </c>
      <c r="T23" s="9">
        <v>44964</v>
      </c>
      <c r="U23" s="8">
        <v>0</v>
      </c>
      <c r="V23" s="9">
        <v>44964</v>
      </c>
      <c r="W23" s="8">
        <v>0</v>
      </c>
      <c r="X23" s="9">
        <v>44964</v>
      </c>
      <c r="Y23" s="8">
        <v>0</v>
      </c>
      <c r="Z23" s="9">
        <v>44964</v>
      </c>
      <c r="AA23" s="8">
        <v>0</v>
      </c>
      <c r="AB23" s="9">
        <v>44964</v>
      </c>
      <c r="AC23" s="8">
        <v>0</v>
      </c>
      <c r="AD23" s="8">
        <v>0</v>
      </c>
      <c r="AE23" s="8">
        <v>0</v>
      </c>
      <c r="AF23" s="9">
        <v>44964</v>
      </c>
      <c r="AG23" s="10" t="s">
        <v>189</v>
      </c>
      <c r="AH23" s="9">
        <v>44964</v>
      </c>
      <c r="AI23" s="10" t="s">
        <v>189</v>
      </c>
      <c r="AJ23" s="9">
        <v>44964</v>
      </c>
      <c r="AK23" s="5"/>
    </row>
    <row r="24" spans="1:37" ht="27" customHeight="1">
      <c r="A24" s="1">
        <v>21</v>
      </c>
      <c r="B24" s="5"/>
      <c r="C24" s="5"/>
      <c r="D24" s="5"/>
      <c r="E24" s="13" t="s">
        <v>306</v>
      </c>
      <c r="F24" s="14" t="s">
        <v>211</v>
      </c>
      <c r="G24" s="1"/>
      <c r="H24" s="14">
        <v>1</v>
      </c>
      <c r="I24" s="5"/>
      <c r="J24" s="1" t="s">
        <v>30</v>
      </c>
      <c r="K24" s="5"/>
      <c r="L24" s="6"/>
      <c r="M24" s="5"/>
      <c r="N24" s="15">
        <v>44964</v>
      </c>
      <c r="O24" s="8">
        <v>0</v>
      </c>
      <c r="P24" s="9">
        <v>44964</v>
      </c>
      <c r="Q24" s="8">
        <v>0</v>
      </c>
      <c r="R24" s="9">
        <v>44964</v>
      </c>
      <c r="S24" s="8">
        <v>0</v>
      </c>
      <c r="T24" s="9">
        <v>44964</v>
      </c>
      <c r="U24" s="8">
        <v>0</v>
      </c>
      <c r="V24" s="9">
        <v>44964</v>
      </c>
      <c r="W24" s="8">
        <v>0</v>
      </c>
      <c r="X24" s="9">
        <v>44964</v>
      </c>
      <c r="Y24" s="8">
        <v>0</v>
      </c>
      <c r="Z24" s="9">
        <v>44964</v>
      </c>
      <c r="AA24" s="8">
        <v>0</v>
      </c>
      <c r="AB24" s="9">
        <v>44964</v>
      </c>
      <c r="AC24" s="8">
        <v>0</v>
      </c>
      <c r="AD24" s="8">
        <v>0</v>
      </c>
      <c r="AE24" s="8">
        <v>0</v>
      </c>
      <c r="AF24" s="9">
        <v>44964</v>
      </c>
      <c r="AG24" s="10" t="s">
        <v>189</v>
      </c>
      <c r="AH24" s="9">
        <v>44964</v>
      </c>
      <c r="AI24" s="10" t="s">
        <v>189</v>
      </c>
      <c r="AJ24" s="9">
        <v>44964</v>
      </c>
      <c r="AK24" s="5"/>
    </row>
    <row r="25" spans="1:37" ht="27" customHeight="1">
      <c r="A25" s="1">
        <v>22</v>
      </c>
      <c r="B25" s="5"/>
      <c r="C25" s="5"/>
      <c r="D25" s="5"/>
      <c r="E25" s="13" t="s">
        <v>307</v>
      </c>
      <c r="F25" s="14" t="s">
        <v>308</v>
      </c>
      <c r="G25" s="1"/>
      <c r="H25" s="14">
        <v>1</v>
      </c>
      <c r="I25" s="5"/>
      <c r="J25" s="1"/>
      <c r="K25" s="5"/>
      <c r="L25" s="6"/>
      <c r="M25" s="5"/>
      <c r="N25" s="15">
        <v>44964</v>
      </c>
      <c r="O25" s="8">
        <v>0</v>
      </c>
      <c r="P25" s="9">
        <v>44964</v>
      </c>
      <c r="Q25" s="8">
        <v>0</v>
      </c>
      <c r="R25" s="9">
        <v>44964</v>
      </c>
      <c r="S25" s="8">
        <v>0</v>
      </c>
      <c r="T25" s="9">
        <v>44964</v>
      </c>
      <c r="U25" s="8">
        <v>0</v>
      </c>
      <c r="V25" s="9">
        <v>44964</v>
      </c>
      <c r="W25" s="8">
        <v>0</v>
      </c>
      <c r="X25" s="9">
        <v>44964</v>
      </c>
      <c r="Y25" s="8">
        <v>0</v>
      </c>
      <c r="Z25" s="9">
        <v>44964</v>
      </c>
      <c r="AA25" s="8">
        <v>0</v>
      </c>
      <c r="AB25" s="9">
        <v>44964</v>
      </c>
      <c r="AC25" s="8">
        <v>0</v>
      </c>
      <c r="AD25" s="8">
        <v>0</v>
      </c>
      <c r="AE25" s="8">
        <v>0</v>
      </c>
      <c r="AF25" s="9">
        <v>44964</v>
      </c>
      <c r="AG25" s="10" t="s">
        <v>189</v>
      </c>
      <c r="AH25" s="9">
        <v>44964</v>
      </c>
      <c r="AI25" s="10" t="s">
        <v>189</v>
      </c>
      <c r="AJ25" s="9">
        <v>44964</v>
      </c>
      <c r="AK25" s="5"/>
    </row>
    <row r="26" spans="1:37" ht="27" customHeight="1">
      <c r="A26" s="1">
        <v>23</v>
      </c>
      <c r="B26" s="5"/>
      <c r="C26" s="5"/>
      <c r="D26" s="5"/>
      <c r="E26" s="13"/>
      <c r="F26" s="14" t="s">
        <v>301</v>
      </c>
      <c r="G26" s="1"/>
      <c r="H26" s="14">
        <v>2</v>
      </c>
      <c r="I26" s="5"/>
      <c r="J26" s="1"/>
      <c r="K26" s="5"/>
      <c r="L26" s="6"/>
      <c r="M26" s="5"/>
      <c r="N26" s="15">
        <v>44964</v>
      </c>
      <c r="O26" s="8">
        <v>0</v>
      </c>
      <c r="P26" s="9">
        <v>44964</v>
      </c>
      <c r="Q26" s="8">
        <v>0</v>
      </c>
      <c r="R26" s="9">
        <v>44964</v>
      </c>
      <c r="S26" s="8">
        <v>0</v>
      </c>
      <c r="T26" s="9">
        <v>44964</v>
      </c>
      <c r="U26" s="8">
        <v>0</v>
      </c>
      <c r="V26" s="9">
        <v>44964</v>
      </c>
      <c r="W26" s="8">
        <v>0</v>
      </c>
      <c r="X26" s="9">
        <v>44964</v>
      </c>
      <c r="Y26" s="8">
        <v>0</v>
      </c>
      <c r="Z26" s="9">
        <v>44964</v>
      </c>
      <c r="AA26" s="8">
        <v>0</v>
      </c>
      <c r="AB26" s="9">
        <v>44964</v>
      </c>
      <c r="AC26" s="8">
        <v>0</v>
      </c>
      <c r="AD26" s="8">
        <v>0</v>
      </c>
      <c r="AE26" s="8">
        <v>0</v>
      </c>
      <c r="AF26" s="9">
        <v>44964</v>
      </c>
      <c r="AG26" s="10" t="s">
        <v>189</v>
      </c>
      <c r="AH26" s="9">
        <v>44964</v>
      </c>
      <c r="AI26" s="10" t="s">
        <v>189</v>
      </c>
      <c r="AJ26" s="9">
        <v>44964</v>
      </c>
      <c r="AK26" s="5"/>
    </row>
    <row r="27" spans="1:37" ht="27" customHeight="1">
      <c r="A27" s="1">
        <v>24</v>
      </c>
      <c r="B27" s="5"/>
      <c r="C27" s="5"/>
      <c r="D27" s="5"/>
      <c r="E27" s="13"/>
      <c r="F27" s="14" t="s">
        <v>208</v>
      </c>
      <c r="G27" s="1"/>
      <c r="H27" s="14">
        <v>1</v>
      </c>
      <c r="I27" s="5"/>
      <c r="J27" s="1"/>
      <c r="K27" s="5"/>
      <c r="L27" s="6"/>
      <c r="M27" s="5"/>
      <c r="N27" s="15">
        <v>44964</v>
      </c>
      <c r="O27" s="8">
        <v>0</v>
      </c>
      <c r="P27" s="9">
        <v>44964</v>
      </c>
      <c r="Q27" s="8">
        <v>0</v>
      </c>
      <c r="R27" s="9">
        <v>44964</v>
      </c>
      <c r="S27" s="8">
        <v>0</v>
      </c>
      <c r="T27" s="9">
        <v>44964</v>
      </c>
      <c r="U27" s="8">
        <v>0</v>
      </c>
      <c r="V27" s="9">
        <v>44964</v>
      </c>
      <c r="W27" s="8">
        <v>0</v>
      </c>
      <c r="X27" s="9">
        <v>44964</v>
      </c>
      <c r="Y27" s="8">
        <v>0</v>
      </c>
      <c r="Z27" s="9">
        <v>44964</v>
      </c>
      <c r="AA27" s="8">
        <v>0</v>
      </c>
      <c r="AB27" s="9">
        <v>44964</v>
      </c>
      <c r="AC27" s="8">
        <v>0</v>
      </c>
      <c r="AD27" s="8">
        <v>0</v>
      </c>
      <c r="AE27" s="8">
        <v>0</v>
      </c>
      <c r="AF27" s="9">
        <v>44964</v>
      </c>
      <c r="AG27" s="10" t="s">
        <v>189</v>
      </c>
      <c r="AH27" s="9">
        <v>44964</v>
      </c>
      <c r="AI27" s="10" t="s">
        <v>189</v>
      </c>
      <c r="AJ27" s="9">
        <v>44964</v>
      </c>
      <c r="AK27" s="5"/>
    </row>
    <row r="28" spans="1:37" ht="27" customHeight="1">
      <c r="A28" s="1">
        <v>25</v>
      </c>
      <c r="B28" s="5"/>
      <c r="C28" s="5"/>
      <c r="D28" s="5"/>
      <c r="E28" s="13" t="s">
        <v>309</v>
      </c>
      <c r="F28" s="14" t="s">
        <v>287</v>
      </c>
      <c r="G28" s="1"/>
      <c r="H28" s="14">
        <v>1</v>
      </c>
      <c r="I28" s="5"/>
      <c r="J28" s="1" t="s">
        <v>198</v>
      </c>
      <c r="K28" s="5"/>
      <c r="L28" s="6"/>
      <c r="M28" s="5"/>
      <c r="N28" s="15">
        <v>44999</v>
      </c>
      <c r="O28" s="8">
        <v>1</v>
      </c>
      <c r="P28" s="9">
        <v>44964</v>
      </c>
      <c r="Q28" s="8">
        <v>0</v>
      </c>
      <c r="R28" s="9">
        <v>44964</v>
      </c>
      <c r="S28" s="8">
        <v>0</v>
      </c>
      <c r="T28" s="9">
        <v>44964</v>
      </c>
      <c r="U28" s="8">
        <v>0</v>
      </c>
      <c r="V28" s="9">
        <v>44964</v>
      </c>
      <c r="W28" s="8">
        <v>0</v>
      </c>
      <c r="X28" s="9">
        <v>44964</v>
      </c>
      <c r="Y28" s="8">
        <v>0</v>
      </c>
      <c r="Z28" s="9">
        <v>44964</v>
      </c>
      <c r="AA28" s="8">
        <v>0</v>
      </c>
      <c r="AB28" s="9">
        <v>44964</v>
      </c>
      <c r="AC28" s="8">
        <v>0</v>
      </c>
      <c r="AD28" s="8">
        <v>0</v>
      </c>
      <c r="AE28" s="8">
        <v>0</v>
      </c>
      <c r="AF28" s="9">
        <v>44964</v>
      </c>
      <c r="AG28" s="10" t="s">
        <v>189</v>
      </c>
      <c r="AH28" s="9">
        <v>44964</v>
      </c>
      <c r="AI28" s="10" t="s">
        <v>189</v>
      </c>
      <c r="AJ28" s="9">
        <v>44964</v>
      </c>
      <c r="AK28" s="5"/>
    </row>
    <row r="29" spans="1:37" ht="27" customHeight="1">
      <c r="A29" s="1">
        <v>26</v>
      </c>
      <c r="B29" s="5"/>
      <c r="C29" s="5"/>
      <c r="D29" s="5"/>
      <c r="E29" s="13" t="s">
        <v>310</v>
      </c>
      <c r="F29" s="14" t="s">
        <v>287</v>
      </c>
      <c r="G29" s="1"/>
      <c r="H29" s="14">
        <v>1</v>
      </c>
      <c r="I29" s="5"/>
      <c r="J29" s="1" t="s">
        <v>198</v>
      </c>
      <c r="K29" s="5"/>
      <c r="L29" s="6"/>
      <c r="M29" s="5"/>
      <c r="N29" s="15">
        <v>44999</v>
      </c>
      <c r="O29" s="8">
        <v>1</v>
      </c>
      <c r="P29" s="9">
        <v>44964</v>
      </c>
      <c r="Q29" s="8">
        <v>0</v>
      </c>
      <c r="R29" s="9">
        <v>44964</v>
      </c>
      <c r="S29" s="8">
        <v>0</v>
      </c>
      <c r="T29" s="9">
        <v>44964</v>
      </c>
      <c r="U29" s="8">
        <v>0</v>
      </c>
      <c r="V29" s="9">
        <v>44964</v>
      </c>
      <c r="W29" s="8">
        <v>0</v>
      </c>
      <c r="X29" s="9">
        <v>44964</v>
      </c>
      <c r="Y29" s="8">
        <v>0</v>
      </c>
      <c r="Z29" s="9">
        <v>44964</v>
      </c>
      <c r="AA29" s="8">
        <v>0</v>
      </c>
      <c r="AB29" s="9">
        <v>44964</v>
      </c>
      <c r="AC29" s="8">
        <v>0</v>
      </c>
      <c r="AD29" s="8">
        <v>0</v>
      </c>
      <c r="AE29" s="8">
        <v>0</v>
      </c>
      <c r="AF29" s="9">
        <v>44964</v>
      </c>
      <c r="AG29" s="10" t="s">
        <v>189</v>
      </c>
      <c r="AH29" s="9">
        <v>44964</v>
      </c>
      <c r="AI29" s="10" t="s">
        <v>189</v>
      </c>
      <c r="AJ29" s="9">
        <v>44964</v>
      </c>
      <c r="AK29" s="5"/>
    </row>
    <row r="30" spans="1:37" ht="27" customHeight="1">
      <c r="A30" s="1">
        <v>27</v>
      </c>
      <c r="B30" s="5"/>
      <c r="C30" s="5"/>
      <c r="D30" s="5"/>
      <c r="E30" s="13"/>
      <c r="F30" s="14" t="s">
        <v>301</v>
      </c>
      <c r="G30" s="1"/>
      <c r="H30" s="14">
        <v>2</v>
      </c>
      <c r="I30" s="5"/>
      <c r="J30" s="1"/>
      <c r="K30" s="5"/>
      <c r="L30" s="6"/>
      <c r="M30" s="5"/>
      <c r="N30" s="15">
        <v>44964</v>
      </c>
      <c r="O30" s="8">
        <v>0</v>
      </c>
      <c r="P30" s="9">
        <v>44964</v>
      </c>
      <c r="Q30" s="8">
        <v>0</v>
      </c>
      <c r="R30" s="9">
        <v>44964</v>
      </c>
      <c r="S30" s="8">
        <v>0</v>
      </c>
      <c r="T30" s="9">
        <v>44964</v>
      </c>
      <c r="U30" s="8">
        <v>0</v>
      </c>
      <c r="V30" s="9">
        <v>44964</v>
      </c>
      <c r="W30" s="8">
        <v>0</v>
      </c>
      <c r="X30" s="9">
        <v>44964</v>
      </c>
      <c r="Y30" s="8">
        <v>0</v>
      </c>
      <c r="Z30" s="9">
        <v>44964</v>
      </c>
      <c r="AA30" s="8">
        <v>0</v>
      </c>
      <c r="AB30" s="9">
        <v>44964</v>
      </c>
      <c r="AC30" s="8">
        <v>0</v>
      </c>
      <c r="AD30" s="8">
        <v>0</v>
      </c>
      <c r="AE30" s="8">
        <v>0</v>
      </c>
      <c r="AF30" s="9">
        <v>44964</v>
      </c>
      <c r="AG30" s="10" t="s">
        <v>189</v>
      </c>
      <c r="AH30" s="9">
        <v>44964</v>
      </c>
      <c r="AI30" s="10" t="s">
        <v>189</v>
      </c>
      <c r="AJ30" s="9">
        <v>44964</v>
      </c>
      <c r="AK30" s="5"/>
    </row>
    <row r="31" spans="1:37" ht="27" customHeight="1">
      <c r="A31" s="1">
        <v>28</v>
      </c>
      <c r="B31" s="5"/>
      <c r="C31" s="5"/>
      <c r="D31" s="5"/>
      <c r="E31" s="13" t="s">
        <v>311</v>
      </c>
      <c r="F31" s="14" t="s">
        <v>211</v>
      </c>
      <c r="G31" s="1"/>
      <c r="H31" s="14">
        <v>1</v>
      </c>
      <c r="I31" s="5"/>
      <c r="J31" s="1" t="s">
        <v>30</v>
      </c>
      <c r="K31" s="5"/>
      <c r="L31" s="6"/>
      <c r="M31" s="5"/>
      <c r="N31" s="15">
        <v>44964</v>
      </c>
      <c r="O31" s="8">
        <v>0</v>
      </c>
      <c r="P31" s="9">
        <v>44964</v>
      </c>
      <c r="Q31" s="8">
        <v>0</v>
      </c>
      <c r="R31" s="9">
        <v>44964</v>
      </c>
      <c r="S31" s="8">
        <v>0</v>
      </c>
      <c r="T31" s="9">
        <v>44964</v>
      </c>
      <c r="U31" s="8">
        <v>0</v>
      </c>
      <c r="V31" s="9">
        <v>44964</v>
      </c>
      <c r="W31" s="8">
        <v>0</v>
      </c>
      <c r="X31" s="9">
        <v>44964</v>
      </c>
      <c r="Y31" s="8">
        <v>0</v>
      </c>
      <c r="Z31" s="9">
        <v>44964</v>
      </c>
      <c r="AA31" s="8">
        <v>0</v>
      </c>
      <c r="AB31" s="9">
        <v>44964</v>
      </c>
      <c r="AC31" s="8">
        <v>0</v>
      </c>
      <c r="AD31" s="8">
        <v>0</v>
      </c>
      <c r="AE31" s="8">
        <v>0</v>
      </c>
      <c r="AF31" s="9">
        <v>44964</v>
      </c>
      <c r="AG31" s="10" t="s">
        <v>189</v>
      </c>
      <c r="AH31" s="9">
        <v>44964</v>
      </c>
      <c r="AI31" s="10" t="s">
        <v>189</v>
      </c>
      <c r="AJ31" s="9">
        <v>44964</v>
      </c>
      <c r="AK31" s="5"/>
    </row>
    <row r="32" spans="1:37" ht="27" customHeight="1">
      <c r="A32" s="1">
        <v>29</v>
      </c>
      <c r="B32" s="5"/>
      <c r="C32" s="5"/>
      <c r="D32" s="5"/>
      <c r="E32" s="13" t="s">
        <v>312</v>
      </c>
      <c r="F32" s="14" t="s">
        <v>211</v>
      </c>
      <c r="G32" s="1"/>
      <c r="H32" s="14">
        <v>1</v>
      </c>
      <c r="I32" s="5"/>
      <c r="J32" s="1" t="s">
        <v>30</v>
      </c>
      <c r="K32" s="5"/>
      <c r="L32" s="6"/>
      <c r="M32" s="5"/>
      <c r="N32" s="15">
        <v>44964</v>
      </c>
      <c r="O32" s="8">
        <v>0</v>
      </c>
      <c r="P32" s="9">
        <v>44964</v>
      </c>
      <c r="Q32" s="8">
        <v>0</v>
      </c>
      <c r="R32" s="9">
        <v>44964</v>
      </c>
      <c r="S32" s="8">
        <v>0</v>
      </c>
      <c r="T32" s="9">
        <v>44964</v>
      </c>
      <c r="U32" s="8">
        <v>0</v>
      </c>
      <c r="V32" s="9">
        <v>44964</v>
      </c>
      <c r="W32" s="8">
        <v>0</v>
      </c>
      <c r="X32" s="9">
        <v>44964</v>
      </c>
      <c r="Y32" s="8">
        <v>0</v>
      </c>
      <c r="Z32" s="9">
        <v>44964</v>
      </c>
      <c r="AA32" s="8">
        <v>0</v>
      </c>
      <c r="AB32" s="9">
        <v>44964</v>
      </c>
      <c r="AC32" s="8">
        <v>0</v>
      </c>
      <c r="AD32" s="8">
        <v>0</v>
      </c>
      <c r="AE32" s="8">
        <v>0</v>
      </c>
      <c r="AF32" s="9">
        <v>44964</v>
      </c>
      <c r="AG32" s="10" t="s">
        <v>189</v>
      </c>
      <c r="AH32" s="9">
        <v>44964</v>
      </c>
      <c r="AI32" s="10" t="s">
        <v>189</v>
      </c>
      <c r="AJ32" s="9">
        <v>44964</v>
      </c>
      <c r="AK32" s="5"/>
    </row>
    <row r="33" spans="1:37" ht="27" customHeight="1">
      <c r="A33" s="1">
        <v>30</v>
      </c>
      <c r="B33" s="5"/>
      <c r="C33" s="5"/>
      <c r="D33" s="5"/>
      <c r="E33" s="13"/>
      <c r="F33" s="14" t="s">
        <v>208</v>
      </c>
      <c r="G33" s="1"/>
      <c r="H33" s="14">
        <v>1</v>
      </c>
      <c r="I33" s="5"/>
      <c r="J33" s="1"/>
      <c r="K33" s="5"/>
      <c r="L33" s="6"/>
      <c r="M33" s="5"/>
      <c r="N33" s="15">
        <v>44964</v>
      </c>
      <c r="O33" s="8">
        <v>0</v>
      </c>
      <c r="P33" s="9">
        <v>44964</v>
      </c>
      <c r="Q33" s="8">
        <v>0</v>
      </c>
      <c r="R33" s="9">
        <v>44964</v>
      </c>
      <c r="S33" s="8">
        <v>0</v>
      </c>
      <c r="T33" s="9">
        <v>44964</v>
      </c>
      <c r="U33" s="8">
        <v>0</v>
      </c>
      <c r="V33" s="9">
        <v>44964</v>
      </c>
      <c r="W33" s="8">
        <v>0</v>
      </c>
      <c r="X33" s="9">
        <v>44964</v>
      </c>
      <c r="Y33" s="8">
        <v>0</v>
      </c>
      <c r="Z33" s="9">
        <v>44964</v>
      </c>
      <c r="AA33" s="8">
        <v>0</v>
      </c>
      <c r="AB33" s="9">
        <v>44964</v>
      </c>
      <c r="AC33" s="8">
        <v>0</v>
      </c>
      <c r="AD33" s="8">
        <v>0</v>
      </c>
      <c r="AE33" s="8">
        <v>0</v>
      </c>
      <c r="AF33" s="9">
        <v>44964</v>
      </c>
      <c r="AG33" s="10" t="s">
        <v>189</v>
      </c>
      <c r="AH33" s="9">
        <v>44964</v>
      </c>
      <c r="AI33" s="10" t="s">
        <v>189</v>
      </c>
      <c r="AJ33" s="9">
        <v>44964</v>
      </c>
      <c r="AK33" s="5"/>
    </row>
    <row r="34" spans="1:37" ht="27" customHeight="1">
      <c r="A34" s="1">
        <v>31</v>
      </c>
      <c r="B34" s="5"/>
      <c r="C34" s="5"/>
      <c r="D34" s="5"/>
      <c r="E34" s="13" t="s">
        <v>313</v>
      </c>
      <c r="F34" s="14" t="s">
        <v>287</v>
      </c>
      <c r="G34" s="1"/>
      <c r="H34" s="14">
        <v>1</v>
      </c>
      <c r="I34" s="5"/>
      <c r="J34" s="1" t="s">
        <v>198</v>
      </c>
      <c r="K34" s="5"/>
      <c r="L34" s="6"/>
      <c r="M34" s="5"/>
      <c r="N34" s="15">
        <v>44999</v>
      </c>
      <c r="O34" s="8">
        <v>1</v>
      </c>
      <c r="P34" s="9">
        <v>44964</v>
      </c>
      <c r="Q34" s="8">
        <v>0</v>
      </c>
      <c r="R34" s="9">
        <v>44964</v>
      </c>
      <c r="S34" s="8">
        <v>0</v>
      </c>
      <c r="T34" s="9">
        <v>44964</v>
      </c>
      <c r="U34" s="8">
        <v>0</v>
      </c>
      <c r="V34" s="9">
        <v>44964</v>
      </c>
      <c r="W34" s="8">
        <v>0</v>
      </c>
      <c r="X34" s="9">
        <v>44964</v>
      </c>
      <c r="Y34" s="8">
        <v>0</v>
      </c>
      <c r="Z34" s="9">
        <v>44964</v>
      </c>
      <c r="AA34" s="8">
        <v>0</v>
      </c>
      <c r="AB34" s="9">
        <v>44964</v>
      </c>
      <c r="AC34" s="8">
        <v>0</v>
      </c>
      <c r="AD34" s="8">
        <v>0</v>
      </c>
      <c r="AE34" s="8">
        <v>0</v>
      </c>
      <c r="AF34" s="9">
        <v>44964</v>
      </c>
      <c r="AG34" s="10" t="s">
        <v>189</v>
      </c>
      <c r="AH34" s="9">
        <v>44964</v>
      </c>
      <c r="AI34" s="10" t="s">
        <v>189</v>
      </c>
      <c r="AJ34" s="9">
        <v>44964</v>
      </c>
      <c r="AK34" s="5"/>
    </row>
    <row r="35" spans="1:37" ht="27" customHeight="1">
      <c r="A35" s="1">
        <v>32</v>
      </c>
      <c r="B35" s="5"/>
      <c r="C35" s="5"/>
      <c r="D35" s="5"/>
      <c r="E35" s="13" t="s">
        <v>314</v>
      </c>
      <c r="F35" s="14" t="s">
        <v>287</v>
      </c>
      <c r="G35" s="1"/>
      <c r="H35" s="14">
        <v>1</v>
      </c>
      <c r="I35" s="5"/>
      <c r="J35" s="1" t="s">
        <v>198</v>
      </c>
      <c r="K35" s="5"/>
      <c r="L35" s="6"/>
      <c r="M35" s="5"/>
      <c r="N35" s="15">
        <v>44998</v>
      </c>
      <c r="O35" s="8">
        <v>1</v>
      </c>
      <c r="P35" s="9">
        <v>44964</v>
      </c>
      <c r="Q35" s="8">
        <v>0</v>
      </c>
      <c r="R35" s="9">
        <v>44964</v>
      </c>
      <c r="S35" s="8">
        <v>0</v>
      </c>
      <c r="T35" s="9">
        <v>44964</v>
      </c>
      <c r="U35" s="8">
        <v>0</v>
      </c>
      <c r="V35" s="9">
        <v>44964</v>
      </c>
      <c r="W35" s="8">
        <v>0</v>
      </c>
      <c r="X35" s="9">
        <v>44964</v>
      </c>
      <c r="Y35" s="8">
        <v>0</v>
      </c>
      <c r="Z35" s="9">
        <v>44964</v>
      </c>
      <c r="AA35" s="8">
        <v>0</v>
      </c>
      <c r="AB35" s="9">
        <v>44964</v>
      </c>
      <c r="AC35" s="8">
        <v>0</v>
      </c>
      <c r="AD35" s="8">
        <v>0</v>
      </c>
      <c r="AE35" s="8">
        <v>0</v>
      </c>
      <c r="AF35" s="9">
        <v>44964</v>
      </c>
      <c r="AG35" s="10" t="s">
        <v>189</v>
      </c>
      <c r="AH35" s="9">
        <v>44964</v>
      </c>
      <c r="AI35" s="10" t="s">
        <v>189</v>
      </c>
      <c r="AJ35" s="9">
        <v>44964</v>
      </c>
      <c r="AK35" s="5"/>
    </row>
    <row r="36" spans="1:37" ht="27" customHeight="1">
      <c r="A36" s="1">
        <v>33</v>
      </c>
      <c r="B36" s="5"/>
      <c r="C36" s="5"/>
      <c r="D36" s="5"/>
      <c r="E36" s="13" t="s">
        <v>315</v>
      </c>
      <c r="F36" s="14" t="s">
        <v>211</v>
      </c>
      <c r="G36" s="1"/>
      <c r="H36" s="14">
        <v>1</v>
      </c>
      <c r="I36" s="5"/>
      <c r="J36" s="1" t="s">
        <v>30</v>
      </c>
      <c r="K36" s="5"/>
      <c r="L36" s="6"/>
      <c r="M36" s="5"/>
      <c r="N36" s="15">
        <v>44964</v>
      </c>
      <c r="O36" s="8">
        <v>0</v>
      </c>
      <c r="P36" s="9">
        <v>44964</v>
      </c>
      <c r="Q36" s="8">
        <v>0</v>
      </c>
      <c r="R36" s="9">
        <v>44964</v>
      </c>
      <c r="S36" s="8">
        <v>0</v>
      </c>
      <c r="T36" s="9">
        <v>44964</v>
      </c>
      <c r="U36" s="8">
        <v>0</v>
      </c>
      <c r="V36" s="9">
        <v>44964</v>
      </c>
      <c r="W36" s="8">
        <v>0</v>
      </c>
      <c r="X36" s="9">
        <v>44964</v>
      </c>
      <c r="Y36" s="8">
        <v>0</v>
      </c>
      <c r="Z36" s="9">
        <v>44964</v>
      </c>
      <c r="AA36" s="8">
        <v>0</v>
      </c>
      <c r="AB36" s="9">
        <v>44964</v>
      </c>
      <c r="AC36" s="8">
        <v>0</v>
      </c>
      <c r="AD36" s="8">
        <v>0</v>
      </c>
      <c r="AE36" s="8">
        <v>0</v>
      </c>
      <c r="AF36" s="9">
        <v>44964</v>
      </c>
      <c r="AG36" s="10" t="s">
        <v>189</v>
      </c>
      <c r="AH36" s="9">
        <v>44964</v>
      </c>
      <c r="AI36" s="10" t="s">
        <v>189</v>
      </c>
      <c r="AJ36" s="9">
        <v>44964</v>
      </c>
      <c r="AK36" s="5"/>
    </row>
    <row r="37" spans="1:37" ht="27" customHeight="1">
      <c r="A37" s="1">
        <v>34</v>
      </c>
      <c r="B37" s="5"/>
      <c r="C37" s="5"/>
      <c r="D37" s="5"/>
      <c r="E37" s="13" t="s">
        <v>316</v>
      </c>
      <c r="F37" s="14" t="s">
        <v>308</v>
      </c>
      <c r="G37" s="1"/>
      <c r="H37" s="14">
        <v>1</v>
      </c>
      <c r="I37" s="5"/>
      <c r="J37" s="1"/>
      <c r="K37" s="5"/>
      <c r="L37" s="6"/>
      <c r="M37" s="5"/>
      <c r="N37" s="15">
        <v>44964</v>
      </c>
      <c r="O37" s="8">
        <v>0</v>
      </c>
      <c r="P37" s="9">
        <v>44964</v>
      </c>
      <c r="Q37" s="8">
        <v>0</v>
      </c>
      <c r="R37" s="9">
        <v>44964</v>
      </c>
      <c r="S37" s="8">
        <v>0</v>
      </c>
      <c r="T37" s="9">
        <v>44964</v>
      </c>
      <c r="U37" s="8">
        <v>0</v>
      </c>
      <c r="V37" s="9">
        <v>44964</v>
      </c>
      <c r="W37" s="8">
        <v>0</v>
      </c>
      <c r="X37" s="9">
        <v>44964</v>
      </c>
      <c r="Y37" s="8">
        <v>0</v>
      </c>
      <c r="Z37" s="9">
        <v>44964</v>
      </c>
      <c r="AA37" s="8">
        <v>0</v>
      </c>
      <c r="AB37" s="9">
        <v>44964</v>
      </c>
      <c r="AC37" s="8">
        <v>0</v>
      </c>
      <c r="AD37" s="8">
        <v>0</v>
      </c>
      <c r="AE37" s="8">
        <v>0</v>
      </c>
      <c r="AF37" s="9">
        <v>44964</v>
      </c>
      <c r="AG37" s="10" t="s">
        <v>189</v>
      </c>
      <c r="AH37" s="9">
        <v>44964</v>
      </c>
      <c r="AI37" s="10" t="s">
        <v>189</v>
      </c>
      <c r="AJ37" s="9">
        <v>44964</v>
      </c>
      <c r="AK37" s="5"/>
    </row>
    <row r="38" spans="1:37" ht="27" customHeight="1">
      <c r="A38" s="1">
        <v>35</v>
      </c>
      <c r="B38" s="5"/>
      <c r="C38" s="5"/>
      <c r="D38" s="5"/>
      <c r="E38" s="13"/>
      <c r="F38" s="14" t="s">
        <v>301</v>
      </c>
      <c r="G38" s="1"/>
      <c r="H38" s="14">
        <v>2</v>
      </c>
      <c r="I38" s="5"/>
      <c r="J38" s="1"/>
      <c r="K38" s="5"/>
      <c r="L38" s="6"/>
      <c r="M38" s="5"/>
      <c r="N38" s="15">
        <v>44964</v>
      </c>
      <c r="O38" s="8">
        <v>0</v>
      </c>
      <c r="P38" s="9">
        <v>44964</v>
      </c>
      <c r="Q38" s="8">
        <v>0</v>
      </c>
      <c r="R38" s="9">
        <v>44964</v>
      </c>
      <c r="S38" s="8">
        <v>0</v>
      </c>
      <c r="T38" s="9">
        <v>44964</v>
      </c>
      <c r="U38" s="8">
        <v>0</v>
      </c>
      <c r="V38" s="9">
        <v>44964</v>
      </c>
      <c r="W38" s="8">
        <v>0</v>
      </c>
      <c r="X38" s="9">
        <v>44964</v>
      </c>
      <c r="Y38" s="8">
        <v>0</v>
      </c>
      <c r="Z38" s="9">
        <v>44964</v>
      </c>
      <c r="AA38" s="8">
        <v>0</v>
      </c>
      <c r="AB38" s="9">
        <v>44964</v>
      </c>
      <c r="AC38" s="8">
        <v>0</v>
      </c>
      <c r="AD38" s="8">
        <v>0</v>
      </c>
      <c r="AE38" s="8">
        <v>0</v>
      </c>
      <c r="AF38" s="9">
        <v>44964</v>
      </c>
      <c r="AG38" s="10" t="s">
        <v>189</v>
      </c>
      <c r="AH38" s="9">
        <v>44964</v>
      </c>
      <c r="AI38" s="10" t="s">
        <v>189</v>
      </c>
      <c r="AJ38" s="9">
        <v>44964</v>
      </c>
      <c r="AK38" s="5"/>
    </row>
    <row r="39" spans="1:37" ht="27" customHeight="1">
      <c r="A39" s="1">
        <v>36</v>
      </c>
      <c r="B39" s="5"/>
      <c r="C39" s="5"/>
      <c r="D39" s="5"/>
      <c r="E39" s="13"/>
      <c r="F39" s="14" t="s">
        <v>208</v>
      </c>
      <c r="G39" s="1"/>
      <c r="H39" s="14">
        <v>1</v>
      </c>
      <c r="I39" s="5"/>
      <c r="J39" s="1"/>
      <c r="K39" s="5"/>
      <c r="L39" s="6"/>
      <c r="M39" s="5"/>
      <c r="N39" s="15">
        <v>44964</v>
      </c>
      <c r="O39" s="8">
        <v>0</v>
      </c>
      <c r="P39" s="9">
        <v>44964</v>
      </c>
      <c r="Q39" s="8">
        <v>0</v>
      </c>
      <c r="R39" s="9">
        <v>44964</v>
      </c>
      <c r="S39" s="8">
        <v>0</v>
      </c>
      <c r="T39" s="9">
        <v>44964</v>
      </c>
      <c r="U39" s="8">
        <v>0</v>
      </c>
      <c r="V39" s="9">
        <v>44964</v>
      </c>
      <c r="W39" s="8">
        <v>0</v>
      </c>
      <c r="X39" s="9">
        <v>44964</v>
      </c>
      <c r="Y39" s="8">
        <v>0</v>
      </c>
      <c r="Z39" s="9">
        <v>44964</v>
      </c>
      <c r="AA39" s="8">
        <v>0</v>
      </c>
      <c r="AB39" s="9">
        <v>44964</v>
      </c>
      <c r="AC39" s="8">
        <v>0</v>
      </c>
      <c r="AD39" s="8">
        <v>0</v>
      </c>
      <c r="AE39" s="8">
        <v>0</v>
      </c>
      <c r="AF39" s="9">
        <v>44964</v>
      </c>
      <c r="AG39" s="10" t="s">
        <v>189</v>
      </c>
      <c r="AH39" s="9">
        <v>44964</v>
      </c>
      <c r="AI39" s="10" t="s">
        <v>189</v>
      </c>
      <c r="AJ39" s="9">
        <v>44964</v>
      </c>
      <c r="AK39" s="5"/>
    </row>
    <row r="40" spans="1:37" ht="27" customHeight="1">
      <c r="A40" s="1">
        <v>37</v>
      </c>
      <c r="B40" s="5"/>
      <c r="C40" s="5"/>
      <c r="D40" s="5"/>
      <c r="E40" s="13" t="s">
        <v>317</v>
      </c>
      <c r="F40" s="14" t="s">
        <v>287</v>
      </c>
      <c r="G40" s="1"/>
      <c r="H40" s="14">
        <v>1</v>
      </c>
      <c r="I40" s="5"/>
      <c r="J40" s="1" t="s">
        <v>198</v>
      </c>
      <c r="K40" s="5"/>
      <c r="L40" s="6"/>
      <c r="M40" s="5"/>
      <c r="N40" s="15">
        <v>44999</v>
      </c>
      <c r="O40" s="8">
        <v>1</v>
      </c>
      <c r="P40" s="9">
        <v>44964</v>
      </c>
      <c r="Q40" s="8">
        <v>0</v>
      </c>
      <c r="R40" s="9">
        <v>44964</v>
      </c>
      <c r="S40" s="8">
        <v>0</v>
      </c>
      <c r="T40" s="9">
        <v>44964</v>
      </c>
      <c r="U40" s="8">
        <v>0</v>
      </c>
      <c r="V40" s="9">
        <v>44964</v>
      </c>
      <c r="W40" s="8">
        <v>0</v>
      </c>
      <c r="X40" s="9">
        <v>44964</v>
      </c>
      <c r="Y40" s="8">
        <v>0</v>
      </c>
      <c r="Z40" s="9">
        <v>44964</v>
      </c>
      <c r="AA40" s="8">
        <v>0</v>
      </c>
      <c r="AB40" s="9">
        <v>44964</v>
      </c>
      <c r="AC40" s="8">
        <v>0</v>
      </c>
      <c r="AD40" s="8">
        <v>0</v>
      </c>
      <c r="AE40" s="8">
        <v>0</v>
      </c>
      <c r="AF40" s="9">
        <v>44964</v>
      </c>
      <c r="AG40" s="10" t="s">
        <v>189</v>
      </c>
      <c r="AH40" s="9">
        <v>44964</v>
      </c>
      <c r="AI40" s="10" t="s">
        <v>189</v>
      </c>
      <c r="AJ40" s="9">
        <v>44964</v>
      </c>
      <c r="AK40" s="5"/>
    </row>
    <row r="41" spans="1:37" ht="27" customHeight="1">
      <c r="A41" s="1">
        <v>38</v>
      </c>
      <c r="B41" s="5"/>
      <c r="C41" s="5"/>
      <c r="D41" s="5"/>
      <c r="E41" s="13" t="s">
        <v>318</v>
      </c>
      <c r="F41" s="14" t="s">
        <v>287</v>
      </c>
      <c r="G41" s="1"/>
      <c r="H41" s="14">
        <v>1</v>
      </c>
      <c r="I41" s="5"/>
      <c r="J41" s="1" t="s">
        <v>198</v>
      </c>
      <c r="K41" s="5"/>
      <c r="L41" s="6"/>
      <c r="M41" s="5"/>
      <c r="N41" s="15">
        <v>44999</v>
      </c>
      <c r="O41" s="8">
        <v>1</v>
      </c>
      <c r="P41" s="9">
        <v>44964</v>
      </c>
      <c r="Q41" s="8">
        <v>0</v>
      </c>
      <c r="R41" s="9">
        <v>44964</v>
      </c>
      <c r="S41" s="8">
        <v>0</v>
      </c>
      <c r="T41" s="9">
        <v>44964</v>
      </c>
      <c r="U41" s="8">
        <v>0</v>
      </c>
      <c r="V41" s="9">
        <v>44964</v>
      </c>
      <c r="W41" s="8">
        <v>0</v>
      </c>
      <c r="X41" s="9">
        <v>44964</v>
      </c>
      <c r="Y41" s="8">
        <v>0</v>
      </c>
      <c r="Z41" s="9">
        <v>44964</v>
      </c>
      <c r="AA41" s="8">
        <v>0</v>
      </c>
      <c r="AB41" s="9">
        <v>44964</v>
      </c>
      <c r="AC41" s="8">
        <v>0</v>
      </c>
      <c r="AD41" s="8">
        <v>0</v>
      </c>
      <c r="AE41" s="8">
        <v>0</v>
      </c>
      <c r="AF41" s="9">
        <v>44964</v>
      </c>
      <c r="AG41" s="10" t="s">
        <v>189</v>
      </c>
      <c r="AH41" s="9">
        <v>44964</v>
      </c>
      <c r="AI41" s="10" t="s">
        <v>189</v>
      </c>
      <c r="AJ41" s="9">
        <v>44964</v>
      </c>
      <c r="AK41" s="5"/>
    </row>
    <row r="42" spans="1:37" ht="27" customHeight="1">
      <c r="A42" s="1">
        <v>39</v>
      </c>
      <c r="B42" s="5"/>
      <c r="C42" s="5"/>
      <c r="D42" s="5"/>
      <c r="E42" s="13" t="s">
        <v>319</v>
      </c>
      <c r="F42" s="14" t="s">
        <v>292</v>
      </c>
      <c r="G42" s="1"/>
      <c r="H42" s="14">
        <v>1</v>
      </c>
      <c r="I42" s="5"/>
      <c r="J42" s="1"/>
      <c r="K42" s="5"/>
      <c r="L42" s="6"/>
      <c r="M42" s="5"/>
      <c r="N42" s="15">
        <v>44964</v>
      </c>
      <c r="O42" s="8">
        <v>0</v>
      </c>
      <c r="P42" s="9">
        <v>44964</v>
      </c>
      <c r="Q42" s="8">
        <v>0</v>
      </c>
      <c r="R42" s="9">
        <v>44964</v>
      </c>
      <c r="S42" s="8">
        <v>0</v>
      </c>
      <c r="T42" s="9">
        <v>44964</v>
      </c>
      <c r="U42" s="8">
        <v>0</v>
      </c>
      <c r="V42" s="9">
        <v>44964</v>
      </c>
      <c r="W42" s="8">
        <v>0</v>
      </c>
      <c r="X42" s="9">
        <v>44964</v>
      </c>
      <c r="Y42" s="8">
        <v>0</v>
      </c>
      <c r="Z42" s="9">
        <v>44964</v>
      </c>
      <c r="AA42" s="8">
        <v>0</v>
      </c>
      <c r="AB42" s="9">
        <v>44964</v>
      </c>
      <c r="AC42" s="8">
        <v>0</v>
      </c>
      <c r="AD42" s="8">
        <v>0</v>
      </c>
      <c r="AE42" s="8">
        <v>0</v>
      </c>
      <c r="AF42" s="9">
        <v>44964</v>
      </c>
      <c r="AG42" s="10" t="s">
        <v>189</v>
      </c>
      <c r="AH42" s="9">
        <v>44964</v>
      </c>
      <c r="AI42" s="10" t="s">
        <v>189</v>
      </c>
      <c r="AJ42" s="9">
        <v>44964</v>
      </c>
      <c r="AK42" s="5"/>
    </row>
    <row r="43" spans="1:37" ht="27" customHeight="1">
      <c r="A43" s="1">
        <v>40</v>
      </c>
      <c r="B43" s="5"/>
      <c r="C43" s="5"/>
      <c r="D43" s="5"/>
      <c r="E43" s="13" t="s">
        <v>320</v>
      </c>
      <c r="F43" s="14" t="s">
        <v>290</v>
      </c>
      <c r="G43" s="1"/>
      <c r="H43" s="14">
        <v>1</v>
      </c>
      <c r="I43" s="5"/>
      <c r="J43" s="1" t="s">
        <v>31</v>
      </c>
      <c r="K43" s="5"/>
      <c r="L43" s="6"/>
      <c r="M43" s="5"/>
      <c r="N43" s="15">
        <v>44964</v>
      </c>
      <c r="O43" s="8">
        <v>0</v>
      </c>
      <c r="P43" s="9">
        <v>44964</v>
      </c>
      <c r="Q43" s="8">
        <v>0</v>
      </c>
      <c r="R43" s="9">
        <v>44964</v>
      </c>
      <c r="S43" s="8">
        <v>0</v>
      </c>
      <c r="T43" s="9">
        <v>44964</v>
      </c>
      <c r="U43" s="8">
        <v>0</v>
      </c>
      <c r="V43" s="9">
        <v>44964</v>
      </c>
      <c r="W43" s="8">
        <v>0</v>
      </c>
      <c r="X43" s="9">
        <v>44964</v>
      </c>
      <c r="Y43" s="8">
        <v>0</v>
      </c>
      <c r="Z43" s="9">
        <v>44964</v>
      </c>
      <c r="AA43" s="8">
        <v>0</v>
      </c>
      <c r="AB43" s="9">
        <v>44964</v>
      </c>
      <c r="AC43" s="8">
        <v>0</v>
      </c>
      <c r="AD43" s="8">
        <v>0</v>
      </c>
      <c r="AE43" s="8">
        <v>0</v>
      </c>
      <c r="AF43" s="9">
        <v>44964</v>
      </c>
      <c r="AG43" s="10" t="s">
        <v>189</v>
      </c>
      <c r="AH43" s="9">
        <v>44964</v>
      </c>
      <c r="AI43" s="10" t="s">
        <v>189</v>
      </c>
      <c r="AJ43" s="9">
        <v>44964</v>
      </c>
      <c r="AK43" s="5"/>
    </row>
    <row r="44" spans="1:37" ht="27" customHeight="1">
      <c r="A44" s="1">
        <v>41</v>
      </c>
      <c r="B44" s="5"/>
      <c r="C44" s="5"/>
      <c r="D44" s="5"/>
      <c r="E44" s="13" t="s">
        <v>321</v>
      </c>
      <c r="F44" s="14" t="s">
        <v>211</v>
      </c>
      <c r="G44" s="1"/>
      <c r="H44" s="14">
        <v>1</v>
      </c>
      <c r="I44" s="5"/>
      <c r="J44" s="1" t="s">
        <v>30</v>
      </c>
      <c r="K44" s="5"/>
      <c r="L44" s="6"/>
      <c r="M44" s="5"/>
      <c r="N44" s="15">
        <v>44964</v>
      </c>
      <c r="O44" s="8">
        <v>0</v>
      </c>
      <c r="P44" s="9">
        <v>44964</v>
      </c>
      <c r="Q44" s="8">
        <v>0</v>
      </c>
      <c r="R44" s="9">
        <v>44964</v>
      </c>
      <c r="S44" s="8">
        <v>0</v>
      </c>
      <c r="T44" s="9">
        <v>44964</v>
      </c>
      <c r="U44" s="8">
        <v>0</v>
      </c>
      <c r="V44" s="9">
        <v>44964</v>
      </c>
      <c r="W44" s="8">
        <v>0</v>
      </c>
      <c r="X44" s="9">
        <v>44964</v>
      </c>
      <c r="Y44" s="8">
        <v>0</v>
      </c>
      <c r="Z44" s="9">
        <v>44964</v>
      </c>
      <c r="AA44" s="8">
        <v>0</v>
      </c>
      <c r="AB44" s="9">
        <v>44964</v>
      </c>
      <c r="AC44" s="8">
        <v>0</v>
      </c>
      <c r="AD44" s="8">
        <v>0</v>
      </c>
      <c r="AE44" s="8">
        <v>0</v>
      </c>
      <c r="AF44" s="9">
        <v>44964</v>
      </c>
      <c r="AG44" s="10" t="s">
        <v>189</v>
      </c>
      <c r="AH44" s="9">
        <v>44964</v>
      </c>
      <c r="AI44" s="10" t="s">
        <v>189</v>
      </c>
      <c r="AJ44" s="9">
        <v>44964</v>
      </c>
      <c r="AK44" s="5"/>
    </row>
    <row r="45" spans="1:37" ht="27" customHeight="1">
      <c r="A45" s="1">
        <v>42</v>
      </c>
      <c r="B45" s="5"/>
      <c r="C45" s="5"/>
      <c r="D45" s="5"/>
      <c r="E45" s="13" t="s">
        <v>322</v>
      </c>
      <c r="F45" s="14" t="s">
        <v>308</v>
      </c>
      <c r="G45" s="1"/>
      <c r="H45" s="14">
        <v>1</v>
      </c>
      <c r="I45" s="5"/>
      <c r="J45" s="1"/>
      <c r="K45" s="5"/>
      <c r="L45" s="6"/>
      <c r="M45" s="5"/>
      <c r="N45" s="15">
        <v>44964</v>
      </c>
      <c r="O45" s="8">
        <v>0</v>
      </c>
      <c r="P45" s="9">
        <v>44964</v>
      </c>
      <c r="Q45" s="8">
        <v>0</v>
      </c>
      <c r="R45" s="9">
        <v>44964</v>
      </c>
      <c r="S45" s="8">
        <v>0</v>
      </c>
      <c r="T45" s="9">
        <v>44964</v>
      </c>
      <c r="U45" s="8">
        <v>0</v>
      </c>
      <c r="V45" s="9">
        <v>44964</v>
      </c>
      <c r="W45" s="8">
        <v>0</v>
      </c>
      <c r="X45" s="9">
        <v>44964</v>
      </c>
      <c r="Y45" s="8">
        <v>0</v>
      </c>
      <c r="Z45" s="9">
        <v>44964</v>
      </c>
      <c r="AA45" s="8">
        <v>0</v>
      </c>
      <c r="AB45" s="9">
        <v>44964</v>
      </c>
      <c r="AC45" s="8">
        <v>0</v>
      </c>
      <c r="AD45" s="8">
        <v>0</v>
      </c>
      <c r="AE45" s="8">
        <v>0</v>
      </c>
      <c r="AF45" s="9">
        <v>44964</v>
      </c>
      <c r="AG45" s="10" t="s">
        <v>189</v>
      </c>
      <c r="AH45" s="9">
        <v>44964</v>
      </c>
      <c r="AI45" s="10" t="s">
        <v>189</v>
      </c>
      <c r="AJ45" s="9">
        <v>44964</v>
      </c>
      <c r="AK45" s="5"/>
    </row>
    <row r="46" spans="1:37" ht="27" customHeight="1">
      <c r="A46" s="1">
        <v>43</v>
      </c>
      <c r="B46" s="5"/>
      <c r="C46" s="5"/>
      <c r="D46" s="5"/>
      <c r="E46" s="13"/>
      <c r="F46" s="14" t="s">
        <v>301</v>
      </c>
      <c r="G46" s="1"/>
      <c r="H46" s="14">
        <v>2</v>
      </c>
      <c r="I46" s="5"/>
      <c r="J46" s="1"/>
      <c r="K46" s="5"/>
      <c r="L46" s="6"/>
      <c r="M46" s="5"/>
      <c r="N46" s="15">
        <v>44964</v>
      </c>
      <c r="O46" s="8">
        <v>0</v>
      </c>
      <c r="P46" s="9">
        <v>44964</v>
      </c>
      <c r="Q46" s="8">
        <v>0</v>
      </c>
      <c r="R46" s="9">
        <v>44964</v>
      </c>
      <c r="S46" s="8">
        <v>0</v>
      </c>
      <c r="T46" s="9">
        <v>44964</v>
      </c>
      <c r="U46" s="8">
        <v>0</v>
      </c>
      <c r="V46" s="9">
        <v>44964</v>
      </c>
      <c r="W46" s="8">
        <v>0</v>
      </c>
      <c r="X46" s="9">
        <v>44964</v>
      </c>
      <c r="Y46" s="8">
        <v>0</v>
      </c>
      <c r="Z46" s="9">
        <v>44964</v>
      </c>
      <c r="AA46" s="8">
        <v>0</v>
      </c>
      <c r="AB46" s="9">
        <v>44964</v>
      </c>
      <c r="AC46" s="8">
        <v>0</v>
      </c>
      <c r="AD46" s="8">
        <v>0</v>
      </c>
      <c r="AE46" s="8">
        <v>0</v>
      </c>
      <c r="AF46" s="9">
        <v>44964</v>
      </c>
      <c r="AG46" s="10" t="s">
        <v>189</v>
      </c>
      <c r="AH46" s="9">
        <v>44964</v>
      </c>
      <c r="AI46" s="10" t="s">
        <v>189</v>
      </c>
      <c r="AJ46" s="9">
        <v>44964</v>
      </c>
      <c r="AK46" s="5"/>
    </row>
    <row r="47" spans="1:37" ht="27" customHeight="1">
      <c r="A47" s="1">
        <v>44</v>
      </c>
      <c r="B47" s="5"/>
      <c r="C47" s="5"/>
      <c r="D47" s="5"/>
      <c r="E47" s="13"/>
      <c r="F47" s="14" t="s">
        <v>208</v>
      </c>
      <c r="G47" s="1"/>
      <c r="H47" s="14">
        <v>2</v>
      </c>
      <c r="I47" s="5"/>
      <c r="J47" s="1"/>
      <c r="K47" s="5"/>
      <c r="L47" s="6"/>
      <c r="M47" s="5"/>
      <c r="N47" s="15">
        <v>44964</v>
      </c>
      <c r="O47" s="8">
        <v>0</v>
      </c>
      <c r="P47" s="9">
        <v>44964</v>
      </c>
      <c r="Q47" s="8">
        <v>0</v>
      </c>
      <c r="R47" s="9">
        <v>44964</v>
      </c>
      <c r="S47" s="8">
        <v>0</v>
      </c>
      <c r="T47" s="9">
        <v>44964</v>
      </c>
      <c r="U47" s="8">
        <v>0</v>
      </c>
      <c r="V47" s="9">
        <v>44964</v>
      </c>
      <c r="W47" s="8">
        <v>0</v>
      </c>
      <c r="X47" s="9">
        <v>44964</v>
      </c>
      <c r="Y47" s="8">
        <v>0</v>
      </c>
      <c r="Z47" s="9">
        <v>44964</v>
      </c>
      <c r="AA47" s="8">
        <v>0</v>
      </c>
      <c r="AB47" s="9">
        <v>44964</v>
      </c>
      <c r="AC47" s="8">
        <v>0</v>
      </c>
      <c r="AD47" s="8">
        <v>0</v>
      </c>
      <c r="AE47" s="8">
        <v>0</v>
      </c>
      <c r="AF47" s="9">
        <v>44964</v>
      </c>
      <c r="AG47" s="10" t="s">
        <v>189</v>
      </c>
      <c r="AH47" s="9">
        <v>44964</v>
      </c>
      <c r="AI47" s="10" t="s">
        <v>189</v>
      </c>
      <c r="AJ47" s="9">
        <v>44964</v>
      </c>
      <c r="AK47" s="5"/>
    </row>
    <row r="48" spans="1:37" ht="27" customHeight="1">
      <c r="A48" s="1">
        <v>45</v>
      </c>
      <c r="B48" s="5"/>
      <c r="C48" s="5"/>
      <c r="D48" s="5"/>
      <c r="E48" s="13" t="s">
        <v>323</v>
      </c>
      <c r="F48" s="14" t="s">
        <v>287</v>
      </c>
      <c r="G48" s="1"/>
      <c r="H48" s="14">
        <v>1</v>
      </c>
      <c r="I48" s="5"/>
      <c r="J48" s="1" t="s">
        <v>198</v>
      </c>
      <c r="K48" s="5"/>
      <c r="L48" s="6"/>
      <c r="M48" s="5"/>
      <c r="N48" s="15">
        <v>44999</v>
      </c>
      <c r="O48" s="8">
        <v>1</v>
      </c>
      <c r="P48" s="9">
        <v>44964</v>
      </c>
      <c r="Q48" s="8">
        <v>0</v>
      </c>
      <c r="R48" s="9">
        <v>44964</v>
      </c>
      <c r="S48" s="8">
        <v>0</v>
      </c>
      <c r="T48" s="9">
        <v>44964</v>
      </c>
      <c r="U48" s="8">
        <v>0</v>
      </c>
      <c r="V48" s="9">
        <v>44964</v>
      </c>
      <c r="W48" s="8">
        <v>0</v>
      </c>
      <c r="X48" s="9">
        <v>44964</v>
      </c>
      <c r="Y48" s="8">
        <v>0</v>
      </c>
      <c r="Z48" s="9">
        <v>44964</v>
      </c>
      <c r="AA48" s="8">
        <v>0</v>
      </c>
      <c r="AB48" s="9">
        <v>44964</v>
      </c>
      <c r="AC48" s="8">
        <v>0</v>
      </c>
      <c r="AD48" s="8">
        <v>0</v>
      </c>
      <c r="AE48" s="8">
        <v>0</v>
      </c>
      <c r="AF48" s="9">
        <v>44964</v>
      </c>
      <c r="AG48" s="10" t="s">
        <v>189</v>
      </c>
      <c r="AH48" s="9">
        <v>44964</v>
      </c>
      <c r="AI48" s="10" t="s">
        <v>189</v>
      </c>
      <c r="AJ48" s="9">
        <v>44964</v>
      </c>
      <c r="AK48" s="5"/>
    </row>
    <row r="49" spans="1:37" ht="27" customHeight="1">
      <c r="A49" s="1">
        <v>46</v>
      </c>
      <c r="B49" s="5"/>
      <c r="C49" s="5"/>
      <c r="D49" s="5"/>
      <c r="E49" s="13" t="s">
        <v>324</v>
      </c>
      <c r="F49" s="14" t="s">
        <v>287</v>
      </c>
      <c r="G49" s="1"/>
      <c r="H49" s="14">
        <v>1</v>
      </c>
      <c r="I49" s="5"/>
      <c r="J49" s="1" t="s">
        <v>198</v>
      </c>
      <c r="K49" s="5"/>
      <c r="L49" s="6"/>
      <c r="M49" s="5"/>
      <c r="N49" s="15">
        <v>44999</v>
      </c>
      <c r="O49" s="8">
        <v>1</v>
      </c>
      <c r="P49" s="9">
        <v>44964</v>
      </c>
      <c r="Q49" s="8">
        <v>0</v>
      </c>
      <c r="R49" s="9">
        <v>44964</v>
      </c>
      <c r="S49" s="8">
        <v>0</v>
      </c>
      <c r="T49" s="9">
        <v>44964</v>
      </c>
      <c r="U49" s="8">
        <v>0</v>
      </c>
      <c r="V49" s="9">
        <v>44964</v>
      </c>
      <c r="W49" s="8">
        <v>0</v>
      </c>
      <c r="X49" s="9">
        <v>44964</v>
      </c>
      <c r="Y49" s="8">
        <v>0</v>
      </c>
      <c r="Z49" s="9">
        <v>44964</v>
      </c>
      <c r="AA49" s="8">
        <v>0</v>
      </c>
      <c r="AB49" s="9">
        <v>44964</v>
      </c>
      <c r="AC49" s="8">
        <v>0</v>
      </c>
      <c r="AD49" s="8">
        <v>0</v>
      </c>
      <c r="AE49" s="8">
        <v>0</v>
      </c>
      <c r="AF49" s="9">
        <v>44964</v>
      </c>
      <c r="AG49" s="10" t="s">
        <v>189</v>
      </c>
      <c r="AH49" s="9">
        <v>44964</v>
      </c>
      <c r="AI49" s="10" t="s">
        <v>189</v>
      </c>
      <c r="AJ49" s="9">
        <v>44964</v>
      </c>
      <c r="AK49" s="5"/>
    </row>
    <row r="50" spans="1:37" ht="27" customHeight="1">
      <c r="A50" s="1">
        <v>47</v>
      </c>
      <c r="B50" s="5"/>
      <c r="C50" s="5"/>
      <c r="D50" s="5"/>
      <c r="E50" s="13" t="s">
        <v>325</v>
      </c>
      <c r="F50" s="14" t="s">
        <v>292</v>
      </c>
      <c r="G50" s="1"/>
      <c r="H50" s="14">
        <v>1</v>
      </c>
      <c r="I50" s="5"/>
      <c r="J50" s="1"/>
      <c r="K50" s="5"/>
      <c r="L50" s="6"/>
      <c r="M50" s="5"/>
      <c r="N50" s="15">
        <v>44964</v>
      </c>
      <c r="O50" s="8">
        <v>0</v>
      </c>
      <c r="P50" s="9">
        <v>44964</v>
      </c>
      <c r="Q50" s="8">
        <v>0</v>
      </c>
      <c r="R50" s="9">
        <v>44964</v>
      </c>
      <c r="S50" s="8">
        <v>0</v>
      </c>
      <c r="T50" s="9">
        <v>44964</v>
      </c>
      <c r="U50" s="8">
        <v>0</v>
      </c>
      <c r="V50" s="9">
        <v>44964</v>
      </c>
      <c r="W50" s="8">
        <v>0</v>
      </c>
      <c r="X50" s="9">
        <v>44964</v>
      </c>
      <c r="Y50" s="8">
        <v>0</v>
      </c>
      <c r="Z50" s="9">
        <v>44964</v>
      </c>
      <c r="AA50" s="8">
        <v>0</v>
      </c>
      <c r="AB50" s="9">
        <v>44964</v>
      </c>
      <c r="AC50" s="8">
        <v>0</v>
      </c>
      <c r="AD50" s="8">
        <v>0</v>
      </c>
      <c r="AE50" s="8">
        <v>0</v>
      </c>
      <c r="AF50" s="9">
        <v>44964</v>
      </c>
      <c r="AG50" s="10" t="s">
        <v>189</v>
      </c>
      <c r="AH50" s="9">
        <v>44964</v>
      </c>
      <c r="AI50" s="10" t="s">
        <v>189</v>
      </c>
      <c r="AJ50" s="9">
        <v>44964</v>
      </c>
      <c r="AK50" s="5"/>
    </row>
    <row r="51" spans="1:37" ht="27" customHeight="1">
      <c r="A51" s="1">
        <v>48</v>
      </c>
      <c r="B51" s="5"/>
      <c r="C51" s="5"/>
      <c r="D51" s="5"/>
      <c r="E51" s="13" t="s">
        <v>326</v>
      </c>
      <c r="F51" s="14" t="s">
        <v>290</v>
      </c>
      <c r="G51" s="1"/>
      <c r="H51" s="14">
        <v>1</v>
      </c>
      <c r="I51" s="5"/>
      <c r="J51" s="1" t="s">
        <v>31</v>
      </c>
      <c r="K51" s="5"/>
      <c r="L51" s="6"/>
      <c r="M51" s="5"/>
      <c r="N51" s="15">
        <v>44964</v>
      </c>
      <c r="O51" s="8">
        <v>0</v>
      </c>
      <c r="P51" s="9">
        <v>44964</v>
      </c>
      <c r="Q51" s="8">
        <v>0</v>
      </c>
      <c r="R51" s="9">
        <v>44964</v>
      </c>
      <c r="S51" s="8">
        <v>0</v>
      </c>
      <c r="T51" s="9">
        <v>44964</v>
      </c>
      <c r="U51" s="8">
        <v>0</v>
      </c>
      <c r="V51" s="9">
        <v>44964</v>
      </c>
      <c r="W51" s="8">
        <v>0</v>
      </c>
      <c r="X51" s="9">
        <v>44964</v>
      </c>
      <c r="Y51" s="8">
        <v>0</v>
      </c>
      <c r="Z51" s="9">
        <v>44964</v>
      </c>
      <c r="AA51" s="8">
        <v>0</v>
      </c>
      <c r="AB51" s="9">
        <v>44964</v>
      </c>
      <c r="AC51" s="8">
        <v>0</v>
      </c>
      <c r="AD51" s="8">
        <v>0</v>
      </c>
      <c r="AE51" s="8">
        <v>0</v>
      </c>
      <c r="AF51" s="9">
        <v>44964</v>
      </c>
      <c r="AG51" s="10" t="s">
        <v>189</v>
      </c>
      <c r="AH51" s="9">
        <v>44964</v>
      </c>
      <c r="AI51" s="10" t="s">
        <v>189</v>
      </c>
      <c r="AJ51" s="9">
        <v>44964</v>
      </c>
      <c r="AK51" s="5"/>
    </row>
    <row r="52" spans="1:37" ht="27" customHeight="1">
      <c r="A52" s="1">
        <v>49</v>
      </c>
      <c r="B52" s="5"/>
      <c r="C52" s="5"/>
      <c r="D52" s="5"/>
      <c r="E52" s="13" t="s">
        <v>327</v>
      </c>
      <c r="F52" s="14" t="s">
        <v>211</v>
      </c>
      <c r="G52" s="1"/>
      <c r="H52" s="14">
        <v>1</v>
      </c>
      <c r="I52" s="5"/>
      <c r="J52" s="1" t="s">
        <v>30</v>
      </c>
      <c r="K52" s="5"/>
      <c r="L52" s="6"/>
      <c r="M52" s="5"/>
      <c r="N52" s="15">
        <v>44964</v>
      </c>
      <c r="O52" s="8">
        <v>0</v>
      </c>
      <c r="P52" s="9">
        <v>44964</v>
      </c>
      <c r="Q52" s="8">
        <v>0</v>
      </c>
      <c r="R52" s="9">
        <v>44964</v>
      </c>
      <c r="S52" s="8">
        <v>0</v>
      </c>
      <c r="T52" s="9">
        <v>44964</v>
      </c>
      <c r="U52" s="8">
        <v>0</v>
      </c>
      <c r="V52" s="9">
        <v>44964</v>
      </c>
      <c r="W52" s="8">
        <v>0</v>
      </c>
      <c r="X52" s="9">
        <v>44964</v>
      </c>
      <c r="Y52" s="8">
        <v>0</v>
      </c>
      <c r="Z52" s="9">
        <v>44964</v>
      </c>
      <c r="AA52" s="8">
        <v>0</v>
      </c>
      <c r="AB52" s="9">
        <v>44964</v>
      </c>
      <c r="AC52" s="8">
        <v>0</v>
      </c>
      <c r="AD52" s="8">
        <v>0</v>
      </c>
      <c r="AE52" s="8">
        <v>0</v>
      </c>
      <c r="AF52" s="9">
        <v>44964</v>
      </c>
      <c r="AG52" s="10" t="s">
        <v>189</v>
      </c>
      <c r="AH52" s="9">
        <v>44964</v>
      </c>
      <c r="AI52" s="10" t="s">
        <v>189</v>
      </c>
      <c r="AJ52" s="9">
        <v>44964</v>
      </c>
      <c r="AK52" s="5"/>
    </row>
    <row r="53" spans="1:37" ht="27" customHeight="1">
      <c r="A53" s="1">
        <v>50</v>
      </c>
      <c r="B53" s="5"/>
      <c r="C53" s="5"/>
      <c r="D53" s="5"/>
      <c r="E53" s="13" t="s">
        <v>328</v>
      </c>
      <c r="F53" s="14" t="s">
        <v>308</v>
      </c>
      <c r="G53" s="1"/>
      <c r="H53" s="14">
        <v>1</v>
      </c>
      <c r="I53" s="5"/>
      <c r="J53" s="1"/>
      <c r="K53" s="5"/>
      <c r="L53" s="6"/>
      <c r="M53" s="5"/>
      <c r="N53" s="15">
        <v>44964</v>
      </c>
      <c r="O53" s="8">
        <v>0</v>
      </c>
      <c r="P53" s="9">
        <v>44964</v>
      </c>
      <c r="Q53" s="8">
        <v>0</v>
      </c>
      <c r="R53" s="9">
        <v>44964</v>
      </c>
      <c r="S53" s="8">
        <v>0</v>
      </c>
      <c r="T53" s="9">
        <v>44964</v>
      </c>
      <c r="U53" s="8">
        <v>0</v>
      </c>
      <c r="V53" s="9">
        <v>44964</v>
      </c>
      <c r="W53" s="8">
        <v>0</v>
      </c>
      <c r="X53" s="9">
        <v>44964</v>
      </c>
      <c r="Y53" s="8">
        <v>0</v>
      </c>
      <c r="Z53" s="9">
        <v>44964</v>
      </c>
      <c r="AA53" s="8">
        <v>0</v>
      </c>
      <c r="AB53" s="9">
        <v>44964</v>
      </c>
      <c r="AC53" s="8">
        <v>0</v>
      </c>
      <c r="AD53" s="8">
        <v>0</v>
      </c>
      <c r="AE53" s="8">
        <v>0</v>
      </c>
      <c r="AF53" s="9">
        <v>44964</v>
      </c>
      <c r="AG53" s="10" t="s">
        <v>189</v>
      </c>
      <c r="AH53" s="9">
        <v>44964</v>
      </c>
      <c r="AI53" s="10" t="s">
        <v>189</v>
      </c>
      <c r="AJ53" s="9">
        <v>44964</v>
      </c>
      <c r="AK53" s="5"/>
    </row>
    <row r="54" spans="1:37" ht="27" customHeight="1">
      <c r="A54" s="1">
        <v>51</v>
      </c>
      <c r="B54" s="5"/>
      <c r="C54" s="5"/>
      <c r="D54" s="5"/>
      <c r="E54" s="13"/>
      <c r="F54" s="14" t="s">
        <v>301</v>
      </c>
      <c r="G54" s="1"/>
      <c r="H54" s="14">
        <v>2</v>
      </c>
      <c r="I54" s="5"/>
      <c r="J54" s="1"/>
      <c r="K54" s="5"/>
      <c r="L54" s="6"/>
      <c r="M54" s="5"/>
      <c r="N54" s="15">
        <v>44964</v>
      </c>
      <c r="O54" s="8">
        <v>0</v>
      </c>
      <c r="P54" s="9">
        <v>44964</v>
      </c>
      <c r="Q54" s="8">
        <v>0</v>
      </c>
      <c r="R54" s="9">
        <v>44964</v>
      </c>
      <c r="S54" s="8">
        <v>0</v>
      </c>
      <c r="T54" s="9">
        <v>44964</v>
      </c>
      <c r="U54" s="8">
        <v>0</v>
      </c>
      <c r="V54" s="9">
        <v>44964</v>
      </c>
      <c r="W54" s="8">
        <v>0</v>
      </c>
      <c r="X54" s="9">
        <v>44964</v>
      </c>
      <c r="Y54" s="8">
        <v>0</v>
      </c>
      <c r="Z54" s="9">
        <v>44964</v>
      </c>
      <c r="AA54" s="8">
        <v>0</v>
      </c>
      <c r="AB54" s="9">
        <v>44964</v>
      </c>
      <c r="AC54" s="8">
        <v>0</v>
      </c>
      <c r="AD54" s="8">
        <v>0</v>
      </c>
      <c r="AE54" s="8">
        <v>0</v>
      </c>
      <c r="AF54" s="9">
        <v>44964</v>
      </c>
      <c r="AG54" s="10" t="s">
        <v>189</v>
      </c>
      <c r="AH54" s="9">
        <v>44964</v>
      </c>
      <c r="AI54" s="10" t="s">
        <v>189</v>
      </c>
      <c r="AJ54" s="9">
        <v>44964</v>
      </c>
      <c r="AK54" s="5"/>
    </row>
    <row r="55" spans="1:37" ht="27" customHeight="1">
      <c r="A55" s="1">
        <v>52</v>
      </c>
      <c r="B55" s="5"/>
      <c r="C55" s="5"/>
      <c r="D55" s="5"/>
      <c r="E55" s="13"/>
      <c r="F55" s="14" t="s">
        <v>208</v>
      </c>
      <c r="G55" s="1"/>
      <c r="H55" s="14">
        <v>2</v>
      </c>
      <c r="I55" s="5"/>
      <c r="J55" s="1"/>
      <c r="K55" s="5"/>
      <c r="L55" s="6"/>
      <c r="M55" s="5"/>
      <c r="N55" s="15">
        <v>44964</v>
      </c>
      <c r="O55" s="8">
        <v>0</v>
      </c>
      <c r="P55" s="9">
        <v>44964</v>
      </c>
      <c r="Q55" s="8">
        <v>0</v>
      </c>
      <c r="R55" s="9">
        <v>44964</v>
      </c>
      <c r="S55" s="8">
        <v>0</v>
      </c>
      <c r="T55" s="9">
        <v>44964</v>
      </c>
      <c r="U55" s="8">
        <v>0</v>
      </c>
      <c r="V55" s="9">
        <v>44964</v>
      </c>
      <c r="W55" s="8">
        <v>0</v>
      </c>
      <c r="X55" s="9">
        <v>44964</v>
      </c>
      <c r="Y55" s="8">
        <v>0</v>
      </c>
      <c r="Z55" s="9">
        <v>44964</v>
      </c>
      <c r="AA55" s="8">
        <v>0</v>
      </c>
      <c r="AB55" s="9">
        <v>44964</v>
      </c>
      <c r="AC55" s="8">
        <v>0</v>
      </c>
      <c r="AD55" s="8">
        <v>0</v>
      </c>
      <c r="AE55" s="8">
        <v>0</v>
      </c>
      <c r="AF55" s="9">
        <v>44964</v>
      </c>
      <c r="AG55" s="10" t="s">
        <v>189</v>
      </c>
      <c r="AH55" s="9">
        <v>44964</v>
      </c>
      <c r="AI55" s="10" t="s">
        <v>189</v>
      </c>
      <c r="AJ55" s="9">
        <v>44964</v>
      </c>
      <c r="AK55" s="5"/>
    </row>
    <row r="56" spans="1:37" ht="27" customHeight="1">
      <c r="A56" s="1">
        <v>53</v>
      </c>
      <c r="B56" s="5"/>
      <c r="C56" s="5"/>
      <c r="D56" s="5"/>
      <c r="E56" s="13" t="s">
        <v>329</v>
      </c>
      <c r="F56" s="14" t="s">
        <v>287</v>
      </c>
      <c r="G56" s="1"/>
      <c r="H56" s="14">
        <v>1</v>
      </c>
      <c r="I56" s="5"/>
      <c r="J56" s="1" t="s">
        <v>198</v>
      </c>
      <c r="K56" s="5"/>
      <c r="L56" s="6"/>
      <c r="M56" s="5"/>
      <c r="N56" s="15">
        <v>44999</v>
      </c>
      <c r="O56" s="8">
        <v>1</v>
      </c>
      <c r="P56" s="9">
        <v>44964</v>
      </c>
      <c r="Q56" s="8">
        <v>0</v>
      </c>
      <c r="R56" s="9">
        <v>44964</v>
      </c>
      <c r="S56" s="8">
        <v>0</v>
      </c>
      <c r="T56" s="9">
        <v>44964</v>
      </c>
      <c r="U56" s="8">
        <v>0</v>
      </c>
      <c r="V56" s="9">
        <v>44964</v>
      </c>
      <c r="W56" s="8">
        <v>0</v>
      </c>
      <c r="X56" s="9">
        <v>44964</v>
      </c>
      <c r="Y56" s="8">
        <v>0</v>
      </c>
      <c r="Z56" s="9">
        <v>44964</v>
      </c>
      <c r="AA56" s="8">
        <v>0</v>
      </c>
      <c r="AB56" s="9">
        <v>44964</v>
      </c>
      <c r="AC56" s="8">
        <v>0</v>
      </c>
      <c r="AD56" s="8">
        <v>0</v>
      </c>
      <c r="AE56" s="8">
        <v>0</v>
      </c>
      <c r="AF56" s="9">
        <v>44964</v>
      </c>
      <c r="AG56" s="10" t="s">
        <v>189</v>
      </c>
      <c r="AH56" s="9">
        <v>44964</v>
      </c>
      <c r="AI56" s="10" t="s">
        <v>189</v>
      </c>
      <c r="AJ56" s="9">
        <v>44964</v>
      </c>
      <c r="AK56" s="5"/>
    </row>
    <row r="57" spans="1:37" ht="27" customHeight="1">
      <c r="A57" s="1">
        <v>54</v>
      </c>
      <c r="B57" s="5"/>
      <c r="C57" s="5"/>
      <c r="D57" s="5"/>
      <c r="E57" s="13" t="s">
        <v>330</v>
      </c>
      <c r="F57" s="14" t="s">
        <v>287</v>
      </c>
      <c r="G57" s="1"/>
      <c r="H57" s="14">
        <v>1</v>
      </c>
      <c r="I57" s="5"/>
      <c r="J57" s="1" t="s">
        <v>198</v>
      </c>
      <c r="K57" s="5"/>
      <c r="L57" s="6"/>
      <c r="M57" s="5"/>
      <c r="N57" s="15">
        <v>44998</v>
      </c>
      <c r="O57" s="8">
        <v>1</v>
      </c>
      <c r="P57" s="9">
        <v>44964</v>
      </c>
      <c r="Q57" s="8">
        <v>0</v>
      </c>
      <c r="R57" s="9">
        <v>44964</v>
      </c>
      <c r="S57" s="8">
        <v>0</v>
      </c>
      <c r="T57" s="9">
        <v>44964</v>
      </c>
      <c r="U57" s="8">
        <v>0</v>
      </c>
      <c r="V57" s="9">
        <v>44964</v>
      </c>
      <c r="W57" s="8">
        <v>0</v>
      </c>
      <c r="X57" s="9">
        <v>44964</v>
      </c>
      <c r="Y57" s="8">
        <v>0</v>
      </c>
      <c r="Z57" s="9">
        <v>44964</v>
      </c>
      <c r="AA57" s="8">
        <v>0</v>
      </c>
      <c r="AB57" s="9">
        <v>44964</v>
      </c>
      <c r="AC57" s="8">
        <v>0</v>
      </c>
      <c r="AD57" s="8">
        <v>0</v>
      </c>
      <c r="AE57" s="8">
        <v>0</v>
      </c>
      <c r="AF57" s="9">
        <v>44964</v>
      </c>
      <c r="AG57" s="10" t="s">
        <v>189</v>
      </c>
      <c r="AH57" s="9">
        <v>44964</v>
      </c>
      <c r="AI57" s="10" t="s">
        <v>189</v>
      </c>
      <c r="AJ57" s="9">
        <v>44964</v>
      </c>
      <c r="AK57" s="5"/>
    </row>
    <row r="58" spans="1:37" ht="27" customHeight="1">
      <c r="A58" s="1">
        <v>55</v>
      </c>
      <c r="B58" s="5"/>
      <c r="C58" s="5"/>
      <c r="D58" s="5"/>
      <c r="E58" s="13" t="s">
        <v>331</v>
      </c>
      <c r="F58" s="14" t="s">
        <v>211</v>
      </c>
      <c r="G58" s="1"/>
      <c r="H58" s="14">
        <v>1</v>
      </c>
      <c r="I58" s="5"/>
      <c r="J58" s="1" t="s">
        <v>30</v>
      </c>
      <c r="K58" s="5"/>
      <c r="L58" s="6"/>
      <c r="M58" s="5"/>
      <c r="N58" s="15">
        <v>44964</v>
      </c>
      <c r="O58" s="8">
        <v>0</v>
      </c>
      <c r="P58" s="9">
        <v>44964</v>
      </c>
      <c r="Q58" s="8">
        <v>0</v>
      </c>
      <c r="R58" s="9">
        <v>44964</v>
      </c>
      <c r="S58" s="8">
        <v>0</v>
      </c>
      <c r="T58" s="9">
        <v>44964</v>
      </c>
      <c r="U58" s="8">
        <v>0</v>
      </c>
      <c r="V58" s="9">
        <v>44964</v>
      </c>
      <c r="W58" s="8">
        <v>0</v>
      </c>
      <c r="X58" s="9">
        <v>44964</v>
      </c>
      <c r="Y58" s="8">
        <v>0</v>
      </c>
      <c r="Z58" s="9">
        <v>44964</v>
      </c>
      <c r="AA58" s="8">
        <v>0</v>
      </c>
      <c r="AB58" s="9">
        <v>44964</v>
      </c>
      <c r="AC58" s="8">
        <v>0</v>
      </c>
      <c r="AD58" s="8">
        <v>0</v>
      </c>
      <c r="AE58" s="8">
        <v>0</v>
      </c>
      <c r="AF58" s="9">
        <v>44964</v>
      </c>
      <c r="AG58" s="10" t="s">
        <v>189</v>
      </c>
      <c r="AH58" s="9">
        <v>44964</v>
      </c>
      <c r="AI58" s="10" t="s">
        <v>189</v>
      </c>
      <c r="AJ58" s="9">
        <v>44964</v>
      </c>
      <c r="AK58" s="5"/>
    </row>
    <row r="59" spans="1:37" ht="27" customHeight="1">
      <c r="A59" s="1">
        <v>56</v>
      </c>
      <c r="B59" s="5"/>
      <c r="C59" s="5"/>
      <c r="D59" s="5"/>
      <c r="E59" s="13" t="s">
        <v>332</v>
      </c>
      <c r="F59" s="14" t="s">
        <v>308</v>
      </c>
      <c r="G59" s="1"/>
      <c r="H59" s="14">
        <v>1</v>
      </c>
      <c r="I59" s="5"/>
      <c r="J59" s="1"/>
      <c r="K59" s="5"/>
      <c r="L59" s="6"/>
      <c r="M59" s="5"/>
      <c r="N59" s="15">
        <v>44964</v>
      </c>
      <c r="O59" s="8">
        <v>0</v>
      </c>
      <c r="P59" s="9">
        <v>44964</v>
      </c>
      <c r="Q59" s="8">
        <v>0</v>
      </c>
      <c r="R59" s="9">
        <v>44964</v>
      </c>
      <c r="S59" s="8">
        <v>0</v>
      </c>
      <c r="T59" s="9">
        <v>44964</v>
      </c>
      <c r="U59" s="8">
        <v>0</v>
      </c>
      <c r="V59" s="9">
        <v>44964</v>
      </c>
      <c r="W59" s="8">
        <v>0</v>
      </c>
      <c r="X59" s="9">
        <v>44964</v>
      </c>
      <c r="Y59" s="8">
        <v>0</v>
      </c>
      <c r="Z59" s="9">
        <v>44964</v>
      </c>
      <c r="AA59" s="8">
        <v>0</v>
      </c>
      <c r="AB59" s="9">
        <v>44964</v>
      </c>
      <c r="AC59" s="8">
        <v>0</v>
      </c>
      <c r="AD59" s="8">
        <v>0</v>
      </c>
      <c r="AE59" s="8">
        <v>0</v>
      </c>
      <c r="AF59" s="9">
        <v>44964</v>
      </c>
      <c r="AG59" s="10" t="s">
        <v>189</v>
      </c>
      <c r="AH59" s="9">
        <v>44964</v>
      </c>
      <c r="AI59" s="10" t="s">
        <v>189</v>
      </c>
      <c r="AJ59" s="9">
        <v>44964</v>
      </c>
      <c r="AK59" s="5"/>
    </row>
    <row r="60" spans="1:37" ht="27" customHeight="1">
      <c r="A60" s="1">
        <v>57</v>
      </c>
      <c r="B60" s="5"/>
      <c r="C60" s="5"/>
      <c r="D60" s="5"/>
      <c r="E60" s="13"/>
      <c r="F60" s="14" t="s">
        <v>301</v>
      </c>
      <c r="G60" s="1"/>
      <c r="H60" s="14">
        <v>2</v>
      </c>
      <c r="I60" s="5"/>
      <c r="J60" s="1"/>
      <c r="K60" s="5"/>
      <c r="L60" s="6"/>
      <c r="M60" s="5"/>
      <c r="N60" s="15">
        <v>44964</v>
      </c>
      <c r="O60" s="8">
        <v>0</v>
      </c>
      <c r="P60" s="9">
        <v>44964</v>
      </c>
      <c r="Q60" s="8">
        <v>0</v>
      </c>
      <c r="R60" s="9">
        <v>44964</v>
      </c>
      <c r="S60" s="8">
        <v>0</v>
      </c>
      <c r="T60" s="9">
        <v>44964</v>
      </c>
      <c r="U60" s="8">
        <v>0</v>
      </c>
      <c r="V60" s="9">
        <v>44964</v>
      </c>
      <c r="W60" s="8">
        <v>0</v>
      </c>
      <c r="X60" s="9">
        <v>44964</v>
      </c>
      <c r="Y60" s="8">
        <v>0</v>
      </c>
      <c r="Z60" s="9">
        <v>44964</v>
      </c>
      <c r="AA60" s="8">
        <v>0</v>
      </c>
      <c r="AB60" s="9">
        <v>44964</v>
      </c>
      <c r="AC60" s="8">
        <v>0</v>
      </c>
      <c r="AD60" s="8">
        <v>0</v>
      </c>
      <c r="AE60" s="8">
        <v>0</v>
      </c>
      <c r="AF60" s="9">
        <v>44964</v>
      </c>
      <c r="AG60" s="10" t="s">
        <v>189</v>
      </c>
      <c r="AH60" s="9">
        <v>44964</v>
      </c>
      <c r="AI60" s="10" t="s">
        <v>189</v>
      </c>
      <c r="AJ60" s="9">
        <v>44964</v>
      </c>
      <c r="AK60" s="5"/>
    </row>
    <row r="61" spans="1:37" ht="27" customHeight="1">
      <c r="A61" s="1">
        <v>58</v>
      </c>
      <c r="B61" s="5"/>
      <c r="C61" s="5"/>
      <c r="D61" s="5"/>
      <c r="E61" s="13"/>
      <c r="F61" s="14" t="s">
        <v>208</v>
      </c>
      <c r="G61" s="1"/>
      <c r="H61" s="14">
        <v>1</v>
      </c>
      <c r="I61" s="5"/>
      <c r="J61" s="1"/>
      <c r="K61" s="5"/>
      <c r="L61" s="6"/>
      <c r="M61" s="5"/>
      <c r="N61" s="15">
        <v>44964</v>
      </c>
      <c r="O61" s="8">
        <v>0</v>
      </c>
      <c r="P61" s="9">
        <v>44964</v>
      </c>
      <c r="Q61" s="8">
        <v>0</v>
      </c>
      <c r="R61" s="9">
        <v>44964</v>
      </c>
      <c r="S61" s="8">
        <v>0</v>
      </c>
      <c r="T61" s="9">
        <v>44964</v>
      </c>
      <c r="U61" s="8">
        <v>0</v>
      </c>
      <c r="V61" s="9">
        <v>44964</v>
      </c>
      <c r="W61" s="8">
        <v>0</v>
      </c>
      <c r="X61" s="9">
        <v>44964</v>
      </c>
      <c r="Y61" s="8">
        <v>0</v>
      </c>
      <c r="Z61" s="9">
        <v>44964</v>
      </c>
      <c r="AA61" s="8">
        <v>0</v>
      </c>
      <c r="AB61" s="9">
        <v>44964</v>
      </c>
      <c r="AC61" s="8">
        <v>0</v>
      </c>
      <c r="AD61" s="8">
        <v>0</v>
      </c>
      <c r="AE61" s="8">
        <v>0</v>
      </c>
      <c r="AF61" s="9">
        <v>44964</v>
      </c>
      <c r="AG61" s="10" t="s">
        <v>189</v>
      </c>
      <c r="AH61" s="9">
        <v>44964</v>
      </c>
      <c r="AI61" s="10" t="s">
        <v>189</v>
      </c>
      <c r="AJ61" s="9">
        <v>44964</v>
      </c>
      <c r="AK61" s="5"/>
    </row>
    <row r="62" spans="1:37" ht="27" customHeight="1">
      <c r="A62" s="1">
        <v>59</v>
      </c>
      <c r="B62" s="5"/>
      <c r="C62" s="5"/>
      <c r="D62" s="5"/>
      <c r="E62" s="13" t="s">
        <v>333</v>
      </c>
      <c r="F62" s="14" t="s">
        <v>287</v>
      </c>
      <c r="G62" s="1"/>
      <c r="H62" s="14">
        <v>1</v>
      </c>
      <c r="I62" s="5"/>
      <c r="J62" s="1" t="s">
        <v>198</v>
      </c>
      <c r="K62" s="5"/>
      <c r="L62" s="6"/>
      <c r="M62" s="5"/>
      <c r="N62" s="15">
        <v>44999</v>
      </c>
      <c r="O62" s="8">
        <v>1</v>
      </c>
      <c r="P62" s="9">
        <v>44964</v>
      </c>
      <c r="Q62" s="8">
        <v>0</v>
      </c>
      <c r="R62" s="9">
        <v>44964</v>
      </c>
      <c r="S62" s="8">
        <v>0</v>
      </c>
      <c r="T62" s="9">
        <v>44964</v>
      </c>
      <c r="U62" s="8">
        <v>0</v>
      </c>
      <c r="V62" s="9">
        <v>44964</v>
      </c>
      <c r="W62" s="8">
        <v>0</v>
      </c>
      <c r="X62" s="9">
        <v>44964</v>
      </c>
      <c r="Y62" s="8">
        <v>0</v>
      </c>
      <c r="Z62" s="9">
        <v>44964</v>
      </c>
      <c r="AA62" s="8">
        <v>0</v>
      </c>
      <c r="AB62" s="9">
        <v>44964</v>
      </c>
      <c r="AC62" s="8">
        <v>0</v>
      </c>
      <c r="AD62" s="8">
        <v>0</v>
      </c>
      <c r="AE62" s="8">
        <v>0</v>
      </c>
      <c r="AF62" s="9">
        <v>44964</v>
      </c>
      <c r="AG62" s="10" t="s">
        <v>189</v>
      </c>
      <c r="AH62" s="9">
        <v>44964</v>
      </c>
      <c r="AI62" s="10" t="s">
        <v>189</v>
      </c>
      <c r="AJ62" s="9">
        <v>44964</v>
      </c>
      <c r="AK62" s="5"/>
    </row>
    <row r="63" spans="1:37" ht="27" customHeight="1">
      <c r="A63" s="1">
        <v>60</v>
      </c>
      <c r="B63" s="5"/>
      <c r="C63" s="5"/>
      <c r="D63" s="5"/>
      <c r="E63" s="13" t="s">
        <v>334</v>
      </c>
      <c r="F63" s="14" t="s">
        <v>287</v>
      </c>
      <c r="G63" s="1"/>
      <c r="H63" s="14">
        <v>1</v>
      </c>
      <c r="I63" s="5"/>
      <c r="J63" s="1" t="s">
        <v>198</v>
      </c>
      <c r="K63" s="5"/>
      <c r="L63" s="6"/>
      <c r="M63" s="5"/>
      <c r="N63" s="15">
        <v>44998</v>
      </c>
      <c r="O63" s="8">
        <v>1</v>
      </c>
      <c r="P63" s="9">
        <v>44964</v>
      </c>
      <c r="Q63" s="8">
        <v>0</v>
      </c>
      <c r="R63" s="9">
        <v>44964</v>
      </c>
      <c r="S63" s="8">
        <v>0</v>
      </c>
      <c r="T63" s="9">
        <v>44964</v>
      </c>
      <c r="U63" s="8">
        <v>0</v>
      </c>
      <c r="V63" s="9">
        <v>44964</v>
      </c>
      <c r="W63" s="8">
        <v>0</v>
      </c>
      <c r="X63" s="9">
        <v>44964</v>
      </c>
      <c r="Y63" s="8">
        <v>0</v>
      </c>
      <c r="Z63" s="9">
        <v>44964</v>
      </c>
      <c r="AA63" s="8">
        <v>0</v>
      </c>
      <c r="AB63" s="9">
        <v>44964</v>
      </c>
      <c r="AC63" s="8">
        <v>0</v>
      </c>
      <c r="AD63" s="8">
        <v>0</v>
      </c>
      <c r="AE63" s="8">
        <v>0</v>
      </c>
      <c r="AF63" s="9">
        <v>44964</v>
      </c>
      <c r="AG63" s="10" t="s">
        <v>189</v>
      </c>
      <c r="AH63" s="9">
        <v>44964</v>
      </c>
      <c r="AI63" s="10" t="s">
        <v>189</v>
      </c>
      <c r="AJ63" s="9">
        <v>44964</v>
      </c>
      <c r="AK63" s="5"/>
    </row>
    <row r="64" spans="1:37" ht="27" customHeight="1">
      <c r="A64" s="1">
        <v>61</v>
      </c>
      <c r="B64" s="5"/>
      <c r="C64" s="5"/>
      <c r="D64" s="5"/>
      <c r="E64" s="13" t="s">
        <v>335</v>
      </c>
      <c r="F64" s="14" t="s">
        <v>211</v>
      </c>
      <c r="G64" s="1"/>
      <c r="H64" s="14">
        <v>1</v>
      </c>
      <c r="I64" s="5"/>
      <c r="J64" s="1" t="s">
        <v>30</v>
      </c>
      <c r="K64" s="5"/>
      <c r="L64" s="6"/>
      <c r="M64" s="5"/>
      <c r="N64" s="15">
        <v>44964</v>
      </c>
      <c r="O64" s="8">
        <v>0</v>
      </c>
      <c r="P64" s="9">
        <v>44964</v>
      </c>
      <c r="Q64" s="8">
        <v>0</v>
      </c>
      <c r="R64" s="9">
        <v>44964</v>
      </c>
      <c r="S64" s="8">
        <v>0</v>
      </c>
      <c r="T64" s="9">
        <v>44964</v>
      </c>
      <c r="U64" s="8">
        <v>0</v>
      </c>
      <c r="V64" s="9">
        <v>44964</v>
      </c>
      <c r="W64" s="8">
        <v>0</v>
      </c>
      <c r="X64" s="9">
        <v>44964</v>
      </c>
      <c r="Y64" s="8">
        <v>0</v>
      </c>
      <c r="Z64" s="9">
        <v>44964</v>
      </c>
      <c r="AA64" s="8">
        <v>0</v>
      </c>
      <c r="AB64" s="9">
        <v>44964</v>
      </c>
      <c r="AC64" s="8">
        <v>0</v>
      </c>
      <c r="AD64" s="8">
        <v>0</v>
      </c>
      <c r="AE64" s="8">
        <v>0</v>
      </c>
      <c r="AF64" s="9">
        <v>44964</v>
      </c>
      <c r="AG64" s="10" t="s">
        <v>189</v>
      </c>
      <c r="AH64" s="9">
        <v>44964</v>
      </c>
      <c r="AI64" s="10" t="s">
        <v>189</v>
      </c>
      <c r="AJ64" s="9">
        <v>44964</v>
      </c>
      <c r="AK64" s="5"/>
    </row>
    <row r="65" spans="1:37" ht="27" customHeight="1">
      <c r="A65" s="1">
        <v>62</v>
      </c>
      <c r="B65" s="5"/>
      <c r="C65" s="5"/>
      <c r="D65" s="5"/>
      <c r="E65" s="13" t="s">
        <v>336</v>
      </c>
      <c r="F65" s="14" t="s">
        <v>308</v>
      </c>
      <c r="G65" s="1"/>
      <c r="H65" s="14">
        <v>1</v>
      </c>
      <c r="I65" s="5"/>
      <c r="J65" s="1"/>
      <c r="K65" s="5"/>
      <c r="L65" s="6"/>
      <c r="M65" s="5"/>
      <c r="N65" s="15">
        <v>44964</v>
      </c>
      <c r="O65" s="8">
        <v>0</v>
      </c>
      <c r="P65" s="9">
        <v>44964</v>
      </c>
      <c r="Q65" s="8">
        <v>0</v>
      </c>
      <c r="R65" s="9">
        <v>44964</v>
      </c>
      <c r="S65" s="8">
        <v>0</v>
      </c>
      <c r="T65" s="9">
        <v>44964</v>
      </c>
      <c r="U65" s="8">
        <v>0</v>
      </c>
      <c r="V65" s="9">
        <v>44964</v>
      </c>
      <c r="W65" s="8">
        <v>0</v>
      </c>
      <c r="X65" s="9">
        <v>44964</v>
      </c>
      <c r="Y65" s="8">
        <v>0</v>
      </c>
      <c r="Z65" s="9">
        <v>44964</v>
      </c>
      <c r="AA65" s="8">
        <v>0</v>
      </c>
      <c r="AB65" s="9">
        <v>44964</v>
      </c>
      <c r="AC65" s="8">
        <v>0</v>
      </c>
      <c r="AD65" s="8">
        <v>0</v>
      </c>
      <c r="AE65" s="8">
        <v>0</v>
      </c>
      <c r="AF65" s="9">
        <v>44964</v>
      </c>
      <c r="AG65" s="10" t="s">
        <v>189</v>
      </c>
      <c r="AH65" s="9">
        <v>44964</v>
      </c>
      <c r="AI65" s="10" t="s">
        <v>189</v>
      </c>
      <c r="AJ65" s="9">
        <v>44964</v>
      </c>
      <c r="AK65" s="5"/>
    </row>
    <row r="66" spans="1:37" ht="27" customHeight="1">
      <c r="A66" s="1">
        <v>63</v>
      </c>
      <c r="B66" s="5"/>
      <c r="C66" s="5"/>
      <c r="D66" s="5"/>
      <c r="E66" s="13"/>
      <c r="F66" s="14" t="s">
        <v>301</v>
      </c>
      <c r="G66" s="1"/>
      <c r="H66" s="14">
        <v>2</v>
      </c>
      <c r="I66" s="5"/>
      <c r="J66" s="1"/>
      <c r="K66" s="5"/>
      <c r="L66" s="6"/>
      <c r="M66" s="5"/>
      <c r="N66" s="15">
        <v>44964</v>
      </c>
      <c r="O66" s="8">
        <v>0</v>
      </c>
      <c r="P66" s="9">
        <v>44964</v>
      </c>
      <c r="Q66" s="8">
        <v>0</v>
      </c>
      <c r="R66" s="9">
        <v>44964</v>
      </c>
      <c r="S66" s="8">
        <v>0</v>
      </c>
      <c r="T66" s="9">
        <v>44964</v>
      </c>
      <c r="U66" s="8">
        <v>0</v>
      </c>
      <c r="V66" s="9">
        <v>44964</v>
      </c>
      <c r="W66" s="8">
        <v>0</v>
      </c>
      <c r="X66" s="9">
        <v>44964</v>
      </c>
      <c r="Y66" s="8">
        <v>0</v>
      </c>
      <c r="Z66" s="9">
        <v>44964</v>
      </c>
      <c r="AA66" s="8">
        <v>0</v>
      </c>
      <c r="AB66" s="9">
        <v>44964</v>
      </c>
      <c r="AC66" s="8">
        <v>0</v>
      </c>
      <c r="AD66" s="8">
        <v>0</v>
      </c>
      <c r="AE66" s="8">
        <v>0</v>
      </c>
      <c r="AF66" s="9">
        <v>44964</v>
      </c>
      <c r="AG66" s="10" t="s">
        <v>189</v>
      </c>
      <c r="AH66" s="9">
        <v>44964</v>
      </c>
      <c r="AI66" s="10" t="s">
        <v>189</v>
      </c>
      <c r="AJ66" s="9">
        <v>44964</v>
      </c>
      <c r="AK66" s="5"/>
    </row>
    <row r="67" spans="1:37" ht="27" customHeight="1">
      <c r="A67" s="1">
        <v>64</v>
      </c>
      <c r="B67" s="5"/>
      <c r="C67" s="5"/>
      <c r="D67" s="5"/>
      <c r="E67" s="13"/>
      <c r="F67" s="14" t="s">
        <v>208</v>
      </c>
      <c r="G67" s="1"/>
      <c r="H67" s="14">
        <v>1</v>
      </c>
      <c r="I67" s="5"/>
      <c r="J67" s="1"/>
      <c r="K67" s="5"/>
      <c r="L67" s="6"/>
      <c r="M67" s="5"/>
      <c r="N67" s="15">
        <v>44964</v>
      </c>
      <c r="O67" s="8">
        <v>0</v>
      </c>
      <c r="P67" s="9">
        <v>44964</v>
      </c>
      <c r="Q67" s="8">
        <v>0</v>
      </c>
      <c r="R67" s="9">
        <v>44964</v>
      </c>
      <c r="S67" s="8">
        <v>0</v>
      </c>
      <c r="T67" s="9">
        <v>44964</v>
      </c>
      <c r="U67" s="8">
        <v>0</v>
      </c>
      <c r="V67" s="9">
        <v>44964</v>
      </c>
      <c r="W67" s="8">
        <v>0</v>
      </c>
      <c r="X67" s="9">
        <v>44964</v>
      </c>
      <c r="Y67" s="8">
        <v>0</v>
      </c>
      <c r="Z67" s="9">
        <v>44964</v>
      </c>
      <c r="AA67" s="8">
        <v>0</v>
      </c>
      <c r="AB67" s="9">
        <v>44964</v>
      </c>
      <c r="AC67" s="8">
        <v>0</v>
      </c>
      <c r="AD67" s="8">
        <v>0</v>
      </c>
      <c r="AE67" s="8">
        <v>0</v>
      </c>
      <c r="AF67" s="9">
        <v>44964</v>
      </c>
      <c r="AG67" s="10" t="s">
        <v>189</v>
      </c>
      <c r="AH67" s="9">
        <v>44964</v>
      </c>
      <c r="AI67" s="10" t="s">
        <v>189</v>
      </c>
      <c r="AJ67" s="9">
        <v>44964</v>
      </c>
      <c r="AK67" s="5"/>
    </row>
    <row r="68" spans="1:37" ht="27" customHeight="1">
      <c r="A68" s="1">
        <v>65</v>
      </c>
      <c r="B68" s="5"/>
      <c r="C68" s="5"/>
      <c r="D68" s="5"/>
      <c r="E68" s="13" t="s">
        <v>337</v>
      </c>
      <c r="F68" s="14" t="s">
        <v>287</v>
      </c>
      <c r="G68" s="1"/>
      <c r="H68" s="14">
        <v>1</v>
      </c>
      <c r="I68" s="5"/>
      <c r="J68" s="1" t="s">
        <v>198</v>
      </c>
      <c r="K68" s="5"/>
      <c r="L68" s="6"/>
      <c r="M68" s="5"/>
      <c r="N68" s="15">
        <v>44999</v>
      </c>
      <c r="O68" s="8">
        <v>1</v>
      </c>
      <c r="P68" s="9">
        <v>44964</v>
      </c>
      <c r="Q68" s="8">
        <v>0</v>
      </c>
      <c r="R68" s="9">
        <v>44964</v>
      </c>
      <c r="S68" s="8">
        <v>0</v>
      </c>
      <c r="T68" s="9">
        <v>44964</v>
      </c>
      <c r="U68" s="8">
        <v>0</v>
      </c>
      <c r="V68" s="9">
        <v>44964</v>
      </c>
      <c r="W68" s="8">
        <v>0</v>
      </c>
      <c r="X68" s="9">
        <v>44964</v>
      </c>
      <c r="Y68" s="8">
        <v>0</v>
      </c>
      <c r="Z68" s="9">
        <v>44964</v>
      </c>
      <c r="AA68" s="8">
        <v>0</v>
      </c>
      <c r="AB68" s="9">
        <v>44964</v>
      </c>
      <c r="AC68" s="8">
        <v>0</v>
      </c>
      <c r="AD68" s="8">
        <v>0</v>
      </c>
      <c r="AE68" s="8">
        <v>0</v>
      </c>
      <c r="AF68" s="9">
        <v>44964</v>
      </c>
      <c r="AG68" s="10" t="s">
        <v>189</v>
      </c>
      <c r="AH68" s="9">
        <v>44964</v>
      </c>
      <c r="AI68" s="10" t="s">
        <v>189</v>
      </c>
      <c r="AJ68" s="9">
        <v>44964</v>
      </c>
      <c r="AK68" s="5"/>
    </row>
    <row r="69" spans="1:37" ht="27" customHeight="1">
      <c r="A69" s="1">
        <v>66</v>
      </c>
      <c r="B69" s="5"/>
      <c r="C69" s="5"/>
      <c r="D69" s="5"/>
      <c r="E69" s="13" t="s">
        <v>338</v>
      </c>
      <c r="F69" s="14" t="s">
        <v>287</v>
      </c>
      <c r="G69" s="1"/>
      <c r="H69" s="14">
        <v>1</v>
      </c>
      <c r="I69" s="5"/>
      <c r="J69" s="1" t="s">
        <v>198</v>
      </c>
      <c r="K69" s="5"/>
      <c r="L69" s="6"/>
      <c r="M69" s="5"/>
      <c r="N69" s="15">
        <v>44999</v>
      </c>
      <c r="O69" s="8">
        <v>1</v>
      </c>
      <c r="P69" s="9">
        <v>44964</v>
      </c>
      <c r="Q69" s="8">
        <v>0</v>
      </c>
      <c r="R69" s="9">
        <v>44964</v>
      </c>
      <c r="S69" s="8">
        <v>0</v>
      </c>
      <c r="T69" s="9">
        <v>44964</v>
      </c>
      <c r="U69" s="8">
        <v>0</v>
      </c>
      <c r="V69" s="9">
        <v>44964</v>
      </c>
      <c r="W69" s="8">
        <v>0</v>
      </c>
      <c r="X69" s="9">
        <v>44964</v>
      </c>
      <c r="Y69" s="8">
        <v>0</v>
      </c>
      <c r="Z69" s="9">
        <v>44964</v>
      </c>
      <c r="AA69" s="8">
        <v>0</v>
      </c>
      <c r="AB69" s="9">
        <v>44964</v>
      </c>
      <c r="AC69" s="8">
        <v>0</v>
      </c>
      <c r="AD69" s="8">
        <v>0</v>
      </c>
      <c r="AE69" s="8">
        <v>0</v>
      </c>
      <c r="AF69" s="9">
        <v>44964</v>
      </c>
      <c r="AG69" s="10" t="s">
        <v>189</v>
      </c>
      <c r="AH69" s="9">
        <v>44964</v>
      </c>
      <c r="AI69" s="10" t="s">
        <v>189</v>
      </c>
      <c r="AJ69" s="9">
        <v>44964</v>
      </c>
      <c r="AK69" s="5"/>
    </row>
    <row r="70" spans="1:37" ht="27" customHeight="1">
      <c r="A70" s="1">
        <v>67</v>
      </c>
      <c r="B70" s="5"/>
      <c r="C70" s="5"/>
      <c r="D70" s="5"/>
      <c r="E70" s="13"/>
      <c r="F70" s="14" t="s">
        <v>301</v>
      </c>
      <c r="G70" s="1"/>
      <c r="H70" s="14">
        <v>2</v>
      </c>
      <c r="I70" s="5"/>
      <c r="J70" s="1"/>
      <c r="K70" s="5"/>
      <c r="L70" s="6"/>
      <c r="M70" s="5"/>
      <c r="N70" s="15">
        <v>44964</v>
      </c>
      <c r="O70" s="8">
        <v>0</v>
      </c>
      <c r="P70" s="9">
        <v>44964</v>
      </c>
      <c r="Q70" s="8">
        <v>0</v>
      </c>
      <c r="R70" s="9">
        <v>44964</v>
      </c>
      <c r="S70" s="8">
        <v>0</v>
      </c>
      <c r="T70" s="9">
        <v>44964</v>
      </c>
      <c r="U70" s="8">
        <v>0</v>
      </c>
      <c r="V70" s="9">
        <v>44964</v>
      </c>
      <c r="W70" s="8">
        <v>0</v>
      </c>
      <c r="X70" s="9">
        <v>44964</v>
      </c>
      <c r="Y70" s="8">
        <v>0</v>
      </c>
      <c r="Z70" s="9">
        <v>44964</v>
      </c>
      <c r="AA70" s="8">
        <v>0</v>
      </c>
      <c r="AB70" s="9">
        <v>44964</v>
      </c>
      <c r="AC70" s="8">
        <v>0</v>
      </c>
      <c r="AD70" s="8">
        <v>0</v>
      </c>
      <c r="AE70" s="8">
        <v>0</v>
      </c>
      <c r="AF70" s="9">
        <v>44964</v>
      </c>
      <c r="AG70" s="10" t="s">
        <v>189</v>
      </c>
      <c r="AH70" s="9">
        <v>44964</v>
      </c>
      <c r="AI70" s="10" t="s">
        <v>189</v>
      </c>
      <c r="AJ70" s="9">
        <v>44964</v>
      </c>
      <c r="AK70" s="5"/>
    </row>
    <row r="71" spans="1:37" ht="27" customHeight="1">
      <c r="A71" s="1">
        <v>68</v>
      </c>
      <c r="B71" s="5"/>
      <c r="C71" s="5"/>
      <c r="D71" s="5"/>
      <c r="E71" s="13"/>
      <c r="F71" s="14" t="s">
        <v>208</v>
      </c>
      <c r="G71" s="1"/>
      <c r="H71" s="14">
        <v>1</v>
      </c>
      <c r="I71" s="5"/>
      <c r="J71" s="1"/>
      <c r="K71" s="5"/>
      <c r="L71" s="6"/>
      <c r="M71" s="5"/>
      <c r="N71" s="15">
        <v>44964</v>
      </c>
      <c r="O71" s="8">
        <v>0</v>
      </c>
      <c r="P71" s="9">
        <v>44964</v>
      </c>
      <c r="Q71" s="8">
        <v>0</v>
      </c>
      <c r="R71" s="9">
        <v>44964</v>
      </c>
      <c r="S71" s="8">
        <v>0</v>
      </c>
      <c r="T71" s="9">
        <v>44964</v>
      </c>
      <c r="U71" s="8">
        <v>0</v>
      </c>
      <c r="V71" s="9">
        <v>44964</v>
      </c>
      <c r="W71" s="8">
        <v>0</v>
      </c>
      <c r="X71" s="9">
        <v>44964</v>
      </c>
      <c r="Y71" s="8">
        <v>0</v>
      </c>
      <c r="Z71" s="9">
        <v>44964</v>
      </c>
      <c r="AA71" s="8">
        <v>0</v>
      </c>
      <c r="AB71" s="9">
        <v>44964</v>
      </c>
      <c r="AC71" s="8">
        <v>0</v>
      </c>
      <c r="AD71" s="8">
        <v>0</v>
      </c>
      <c r="AE71" s="8">
        <v>0</v>
      </c>
      <c r="AF71" s="9">
        <v>44964</v>
      </c>
      <c r="AG71" s="10" t="s">
        <v>189</v>
      </c>
      <c r="AH71" s="9">
        <v>44964</v>
      </c>
      <c r="AI71" s="10" t="s">
        <v>189</v>
      </c>
      <c r="AJ71" s="9">
        <v>44964</v>
      </c>
      <c r="AK71" s="5"/>
    </row>
    <row r="72" spans="1:37" ht="27" customHeight="1">
      <c r="A72" s="1">
        <v>69</v>
      </c>
      <c r="B72" s="5"/>
      <c r="C72" s="5"/>
      <c r="D72" s="5"/>
      <c r="E72" s="13" t="s">
        <v>339</v>
      </c>
      <c r="F72" s="14" t="s">
        <v>287</v>
      </c>
      <c r="G72" s="1"/>
      <c r="H72" s="14">
        <v>1</v>
      </c>
      <c r="I72" s="5"/>
      <c r="J72" s="1" t="s">
        <v>198</v>
      </c>
      <c r="K72" s="5"/>
      <c r="L72" s="6"/>
      <c r="M72" s="5"/>
      <c r="N72" s="15">
        <v>44999</v>
      </c>
      <c r="O72" s="8">
        <v>1</v>
      </c>
      <c r="P72" s="9">
        <v>44964</v>
      </c>
      <c r="Q72" s="8">
        <v>0</v>
      </c>
      <c r="R72" s="9">
        <v>44964</v>
      </c>
      <c r="S72" s="8">
        <v>0</v>
      </c>
      <c r="T72" s="9">
        <v>44964</v>
      </c>
      <c r="U72" s="8">
        <v>0</v>
      </c>
      <c r="V72" s="9">
        <v>44964</v>
      </c>
      <c r="W72" s="8">
        <v>0</v>
      </c>
      <c r="X72" s="9">
        <v>44964</v>
      </c>
      <c r="Y72" s="8">
        <v>0</v>
      </c>
      <c r="Z72" s="9">
        <v>44964</v>
      </c>
      <c r="AA72" s="8">
        <v>0</v>
      </c>
      <c r="AB72" s="9">
        <v>44964</v>
      </c>
      <c r="AC72" s="8">
        <v>0</v>
      </c>
      <c r="AD72" s="8">
        <v>0</v>
      </c>
      <c r="AE72" s="8">
        <v>0</v>
      </c>
      <c r="AF72" s="9">
        <v>44964</v>
      </c>
      <c r="AG72" s="10" t="s">
        <v>189</v>
      </c>
      <c r="AH72" s="9">
        <v>44964</v>
      </c>
      <c r="AI72" s="10" t="s">
        <v>189</v>
      </c>
      <c r="AJ72" s="9">
        <v>44964</v>
      </c>
      <c r="AK72" s="5"/>
    </row>
    <row r="73" spans="1:37" ht="27" customHeight="1">
      <c r="A73" s="1">
        <v>70</v>
      </c>
      <c r="B73" s="5"/>
      <c r="C73" s="5"/>
      <c r="D73" s="5"/>
      <c r="E73" s="13" t="s">
        <v>340</v>
      </c>
      <c r="F73" s="14" t="s">
        <v>287</v>
      </c>
      <c r="G73" s="1"/>
      <c r="H73" s="14">
        <v>1</v>
      </c>
      <c r="I73" s="5"/>
      <c r="J73" s="1" t="s">
        <v>198</v>
      </c>
      <c r="K73" s="5"/>
      <c r="L73" s="6"/>
      <c r="M73" s="5"/>
      <c r="N73" s="15">
        <v>44999</v>
      </c>
      <c r="O73" s="8">
        <v>1</v>
      </c>
      <c r="P73" s="9">
        <v>44964</v>
      </c>
      <c r="Q73" s="8">
        <v>0</v>
      </c>
      <c r="R73" s="9">
        <v>44964</v>
      </c>
      <c r="S73" s="8">
        <v>0</v>
      </c>
      <c r="T73" s="9">
        <v>44964</v>
      </c>
      <c r="U73" s="8">
        <v>0</v>
      </c>
      <c r="V73" s="9">
        <v>44964</v>
      </c>
      <c r="W73" s="8">
        <v>0</v>
      </c>
      <c r="X73" s="9">
        <v>44964</v>
      </c>
      <c r="Y73" s="8">
        <v>0</v>
      </c>
      <c r="Z73" s="9">
        <v>44964</v>
      </c>
      <c r="AA73" s="8">
        <v>0</v>
      </c>
      <c r="AB73" s="9">
        <v>44964</v>
      </c>
      <c r="AC73" s="8">
        <v>0</v>
      </c>
      <c r="AD73" s="8">
        <v>0</v>
      </c>
      <c r="AE73" s="8">
        <v>0</v>
      </c>
      <c r="AF73" s="9">
        <v>44964</v>
      </c>
      <c r="AG73" s="10" t="s">
        <v>189</v>
      </c>
      <c r="AH73" s="9">
        <v>44964</v>
      </c>
      <c r="AI73" s="10" t="s">
        <v>189</v>
      </c>
      <c r="AJ73" s="9">
        <v>44964</v>
      </c>
      <c r="AK73" s="5"/>
    </row>
    <row r="74" spans="1:37" ht="27" customHeight="1">
      <c r="A74" s="1">
        <v>71</v>
      </c>
      <c r="B74" s="5"/>
      <c r="C74" s="5"/>
      <c r="D74" s="5"/>
      <c r="E74" s="13" t="s">
        <v>341</v>
      </c>
      <c r="F74" s="14" t="s">
        <v>211</v>
      </c>
      <c r="G74" s="1"/>
      <c r="H74" s="14">
        <v>1</v>
      </c>
      <c r="I74" s="5"/>
      <c r="J74" s="1" t="s">
        <v>30</v>
      </c>
      <c r="K74" s="5"/>
      <c r="L74" s="6"/>
      <c r="M74" s="5"/>
      <c r="N74" s="15">
        <v>44964</v>
      </c>
      <c r="O74" s="8">
        <v>0</v>
      </c>
      <c r="P74" s="9">
        <v>44964</v>
      </c>
      <c r="Q74" s="8">
        <v>0</v>
      </c>
      <c r="R74" s="9">
        <v>44964</v>
      </c>
      <c r="S74" s="8">
        <v>0</v>
      </c>
      <c r="T74" s="9">
        <v>44964</v>
      </c>
      <c r="U74" s="8">
        <v>0</v>
      </c>
      <c r="V74" s="9">
        <v>44964</v>
      </c>
      <c r="W74" s="8">
        <v>0</v>
      </c>
      <c r="X74" s="9">
        <v>44964</v>
      </c>
      <c r="Y74" s="8">
        <v>0</v>
      </c>
      <c r="Z74" s="9">
        <v>44964</v>
      </c>
      <c r="AA74" s="8">
        <v>0</v>
      </c>
      <c r="AB74" s="9">
        <v>44964</v>
      </c>
      <c r="AC74" s="8">
        <v>0</v>
      </c>
      <c r="AD74" s="8">
        <v>0</v>
      </c>
      <c r="AE74" s="8">
        <v>0</v>
      </c>
      <c r="AF74" s="9">
        <v>44964</v>
      </c>
      <c r="AG74" s="10" t="s">
        <v>189</v>
      </c>
      <c r="AH74" s="9">
        <v>44964</v>
      </c>
      <c r="AI74" s="10" t="s">
        <v>189</v>
      </c>
      <c r="AJ74" s="9">
        <v>44964</v>
      </c>
      <c r="AK74" s="5"/>
    </row>
    <row r="75" spans="1:37" ht="27" customHeight="1">
      <c r="A75" s="1">
        <v>72</v>
      </c>
      <c r="B75" s="5"/>
      <c r="C75" s="5"/>
      <c r="D75" s="5"/>
      <c r="E75" s="13" t="s">
        <v>342</v>
      </c>
      <c r="F75" s="14" t="s">
        <v>211</v>
      </c>
      <c r="G75" s="1"/>
      <c r="H75" s="14">
        <v>1</v>
      </c>
      <c r="I75" s="5"/>
      <c r="J75" s="1" t="s">
        <v>30</v>
      </c>
      <c r="K75" s="5"/>
      <c r="L75" s="6"/>
      <c r="M75" s="5"/>
      <c r="N75" s="15">
        <v>44964</v>
      </c>
      <c r="O75" s="8">
        <v>0</v>
      </c>
      <c r="P75" s="9">
        <v>44964</v>
      </c>
      <c r="Q75" s="8">
        <v>0</v>
      </c>
      <c r="R75" s="9">
        <v>44964</v>
      </c>
      <c r="S75" s="8">
        <v>0</v>
      </c>
      <c r="T75" s="9">
        <v>44964</v>
      </c>
      <c r="U75" s="8">
        <v>0</v>
      </c>
      <c r="V75" s="9">
        <v>44964</v>
      </c>
      <c r="W75" s="8">
        <v>0</v>
      </c>
      <c r="X75" s="9">
        <v>44964</v>
      </c>
      <c r="Y75" s="8">
        <v>0</v>
      </c>
      <c r="Z75" s="9">
        <v>44964</v>
      </c>
      <c r="AA75" s="8">
        <v>0</v>
      </c>
      <c r="AB75" s="9">
        <v>44964</v>
      </c>
      <c r="AC75" s="8">
        <v>0</v>
      </c>
      <c r="AD75" s="8">
        <v>0</v>
      </c>
      <c r="AE75" s="8">
        <v>0</v>
      </c>
      <c r="AF75" s="9">
        <v>44964</v>
      </c>
      <c r="AG75" s="10" t="s">
        <v>189</v>
      </c>
      <c r="AH75" s="9">
        <v>44964</v>
      </c>
      <c r="AI75" s="10" t="s">
        <v>189</v>
      </c>
      <c r="AJ75" s="9">
        <v>44964</v>
      </c>
      <c r="AK75" s="5"/>
    </row>
    <row r="76" spans="1:37" ht="27" customHeight="1">
      <c r="A76" s="1">
        <v>73</v>
      </c>
      <c r="B76" s="5"/>
      <c r="C76" s="5"/>
      <c r="D76" s="5"/>
      <c r="E76" s="13"/>
      <c r="F76" s="14" t="s">
        <v>301</v>
      </c>
      <c r="G76" s="1"/>
      <c r="H76" s="14">
        <v>2</v>
      </c>
      <c r="I76" s="5"/>
      <c r="J76" s="1"/>
      <c r="K76" s="5"/>
      <c r="L76" s="6"/>
      <c r="M76" s="5"/>
      <c r="N76" s="15">
        <v>44964</v>
      </c>
      <c r="O76" s="8">
        <v>0</v>
      </c>
      <c r="P76" s="9">
        <v>44964</v>
      </c>
      <c r="Q76" s="8">
        <v>0</v>
      </c>
      <c r="R76" s="9">
        <v>44964</v>
      </c>
      <c r="S76" s="8">
        <v>0</v>
      </c>
      <c r="T76" s="9">
        <v>44964</v>
      </c>
      <c r="U76" s="8">
        <v>0</v>
      </c>
      <c r="V76" s="9">
        <v>44964</v>
      </c>
      <c r="W76" s="8">
        <v>0</v>
      </c>
      <c r="X76" s="9">
        <v>44964</v>
      </c>
      <c r="Y76" s="8">
        <v>0</v>
      </c>
      <c r="Z76" s="9">
        <v>44964</v>
      </c>
      <c r="AA76" s="8">
        <v>0</v>
      </c>
      <c r="AB76" s="9">
        <v>44964</v>
      </c>
      <c r="AC76" s="8">
        <v>0</v>
      </c>
      <c r="AD76" s="8">
        <v>0</v>
      </c>
      <c r="AE76" s="8">
        <v>0</v>
      </c>
      <c r="AF76" s="9">
        <v>44964</v>
      </c>
      <c r="AG76" s="10" t="s">
        <v>189</v>
      </c>
      <c r="AH76" s="9">
        <v>44964</v>
      </c>
      <c r="AI76" s="10" t="s">
        <v>189</v>
      </c>
      <c r="AJ76" s="9">
        <v>44964</v>
      </c>
      <c r="AK76" s="5"/>
    </row>
    <row r="77" spans="1:37" ht="27" customHeight="1">
      <c r="A77" s="1">
        <v>74</v>
      </c>
      <c r="B77" s="5"/>
      <c r="C77" s="5"/>
      <c r="D77" s="5"/>
      <c r="E77" s="13"/>
      <c r="F77" s="14" t="s">
        <v>208</v>
      </c>
      <c r="G77" s="1"/>
      <c r="H77" s="14">
        <v>1</v>
      </c>
      <c r="I77" s="5"/>
      <c r="J77" s="1"/>
      <c r="K77" s="5"/>
      <c r="L77" s="6"/>
      <c r="M77" s="5"/>
      <c r="N77" s="15">
        <v>44964</v>
      </c>
      <c r="O77" s="8">
        <v>0</v>
      </c>
      <c r="P77" s="9">
        <v>44964</v>
      </c>
      <c r="Q77" s="8">
        <v>0</v>
      </c>
      <c r="R77" s="9">
        <v>44964</v>
      </c>
      <c r="S77" s="8">
        <v>0</v>
      </c>
      <c r="T77" s="9">
        <v>44964</v>
      </c>
      <c r="U77" s="8">
        <v>0</v>
      </c>
      <c r="V77" s="9">
        <v>44964</v>
      </c>
      <c r="W77" s="8">
        <v>0</v>
      </c>
      <c r="X77" s="9">
        <v>44964</v>
      </c>
      <c r="Y77" s="8">
        <v>0</v>
      </c>
      <c r="Z77" s="9">
        <v>44964</v>
      </c>
      <c r="AA77" s="8">
        <v>0</v>
      </c>
      <c r="AB77" s="9">
        <v>44964</v>
      </c>
      <c r="AC77" s="8">
        <v>0</v>
      </c>
      <c r="AD77" s="8">
        <v>0</v>
      </c>
      <c r="AE77" s="8">
        <v>0</v>
      </c>
      <c r="AF77" s="9">
        <v>44964</v>
      </c>
      <c r="AG77" s="10" t="s">
        <v>189</v>
      </c>
      <c r="AH77" s="9">
        <v>44964</v>
      </c>
      <c r="AI77" s="10" t="s">
        <v>189</v>
      </c>
      <c r="AJ77" s="9">
        <v>44964</v>
      </c>
      <c r="AK77" s="5"/>
    </row>
    <row r="78" spans="1:37" ht="27" customHeight="1">
      <c r="A78" s="1">
        <v>75</v>
      </c>
      <c r="B78" s="5"/>
      <c r="C78" s="5"/>
      <c r="D78" s="5"/>
      <c r="E78" s="13" t="s">
        <v>343</v>
      </c>
      <c r="F78" s="14" t="s">
        <v>287</v>
      </c>
      <c r="G78" s="1"/>
      <c r="H78" s="14">
        <v>1</v>
      </c>
      <c r="I78" s="5"/>
      <c r="J78" s="1" t="s">
        <v>198</v>
      </c>
      <c r="K78" s="5"/>
      <c r="L78" s="6"/>
      <c r="M78" s="5"/>
      <c r="N78" s="15" t="s">
        <v>344</v>
      </c>
      <c r="O78" s="8">
        <v>1</v>
      </c>
      <c r="P78" s="9">
        <v>44964</v>
      </c>
      <c r="Q78" s="8">
        <v>0</v>
      </c>
      <c r="R78" s="9">
        <v>44964</v>
      </c>
      <c r="S78" s="8">
        <v>0</v>
      </c>
      <c r="T78" s="9">
        <v>44964</v>
      </c>
      <c r="U78" s="8">
        <v>0</v>
      </c>
      <c r="V78" s="9">
        <v>44964</v>
      </c>
      <c r="W78" s="8">
        <v>0</v>
      </c>
      <c r="X78" s="9">
        <v>44964</v>
      </c>
      <c r="Y78" s="8">
        <v>0</v>
      </c>
      <c r="Z78" s="9">
        <v>44964</v>
      </c>
      <c r="AA78" s="8">
        <v>0</v>
      </c>
      <c r="AB78" s="9">
        <v>44964</v>
      </c>
      <c r="AC78" s="8">
        <v>0</v>
      </c>
      <c r="AD78" s="8">
        <v>0</v>
      </c>
      <c r="AE78" s="8">
        <v>0</v>
      </c>
      <c r="AF78" s="9">
        <v>44964</v>
      </c>
      <c r="AG78" s="10" t="s">
        <v>189</v>
      </c>
      <c r="AH78" s="9">
        <v>44964</v>
      </c>
      <c r="AI78" s="10" t="s">
        <v>189</v>
      </c>
      <c r="AJ78" s="9">
        <v>44964</v>
      </c>
      <c r="AK78" s="5"/>
    </row>
    <row r="79" spans="1:37" ht="27" customHeight="1">
      <c r="A79" s="1">
        <v>76</v>
      </c>
      <c r="B79" s="5"/>
      <c r="C79" s="5"/>
      <c r="D79" s="5"/>
      <c r="E79" s="13" t="s">
        <v>345</v>
      </c>
      <c r="F79" s="14" t="s">
        <v>287</v>
      </c>
      <c r="G79" s="1"/>
      <c r="H79" s="14">
        <v>1</v>
      </c>
      <c r="I79" s="5"/>
      <c r="J79" s="1" t="s">
        <v>198</v>
      </c>
      <c r="K79" s="5"/>
      <c r="L79" s="6"/>
      <c r="M79" s="5"/>
      <c r="N79" s="15" t="s">
        <v>344</v>
      </c>
      <c r="O79" s="8">
        <v>1</v>
      </c>
      <c r="P79" s="9">
        <v>44964</v>
      </c>
      <c r="Q79" s="8">
        <v>0</v>
      </c>
      <c r="R79" s="9">
        <v>44964</v>
      </c>
      <c r="S79" s="8">
        <v>0</v>
      </c>
      <c r="T79" s="9">
        <v>44964</v>
      </c>
      <c r="U79" s="8">
        <v>0</v>
      </c>
      <c r="V79" s="9">
        <v>44964</v>
      </c>
      <c r="W79" s="8">
        <v>0</v>
      </c>
      <c r="X79" s="9">
        <v>44964</v>
      </c>
      <c r="Y79" s="8">
        <v>0</v>
      </c>
      <c r="Z79" s="9">
        <v>44964</v>
      </c>
      <c r="AA79" s="8">
        <v>0</v>
      </c>
      <c r="AB79" s="9">
        <v>44964</v>
      </c>
      <c r="AC79" s="8">
        <v>0</v>
      </c>
      <c r="AD79" s="8">
        <v>0</v>
      </c>
      <c r="AE79" s="8">
        <v>0</v>
      </c>
      <c r="AF79" s="9">
        <v>44964</v>
      </c>
      <c r="AG79" s="10" t="s">
        <v>189</v>
      </c>
      <c r="AH79" s="9">
        <v>44964</v>
      </c>
      <c r="AI79" s="10" t="s">
        <v>189</v>
      </c>
      <c r="AJ79" s="9">
        <v>44964</v>
      </c>
      <c r="AK79" s="5"/>
    </row>
    <row r="80" spans="1:37" ht="27" customHeight="1">
      <c r="A80" s="1">
        <v>77</v>
      </c>
      <c r="B80" s="5"/>
      <c r="C80" s="5"/>
      <c r="D80" s="5"/>
      <c r="E80" s="13" t="s">
        <v>346</v>
      </c>
      <c r="F80" s="14" t="s">
        <v>292</v>
      </c>
      <c r="G80" s="1"/>
      <c r="H80" s="14">
        <v>1</v>
      </c>
      <c r="I80" s="5"/>
      <c r="J80" s="1"/>
      <c r="K80" s="5"/>
      <c r="L80" s="6"/>
      <c r="M80" s="5"/>
      <c r="N80" s="15">
        <v>44964</v>
      </c>
      <c r="O80" s="8">
        <v>0</v>
      </c>
      <c r="P80" s="9">
        <v>44964</v>
      </c>
      <c r="Q80" s="8">
        <v>0</v>
      </c>
      <c r="R80" s="9">
        <v>44964</v>
      </c>
      <c r="S80" s="8">
        <v>0</v>
      </c>
      <c r="T80" s="9">
        <v>44964</v>
      </c>
      <c r="U80" s="8">
        <v>0</v>
      </c>
      <c r="V80" s="9">
        <v>44964</v>
      </c>
      <c r="W80" s="8">
        <v>0</v>
      </c>
      <c r="X80" s="9">
        <v>44964</v>
      </c>
      <c r="Y80" s="8">
        <v>0</v>
      </c>
      <c r="Z80" s="9">
        <v>44964</v>
      </c>
      <c r="AA80" s="8">
        <v>0</v>
      </c>
      <c r="AB80" s="9">
        <v>44964</v>
      </c>
      <c r="AC80" s="8">
        <v>0</v>
      </c>
      <c r="AD80" s="8">
        <v>0</v>
      </c>
      <c r="AE80" s="8">
        <v>0</v>
      </c>
      <c r="AF80" s="9">
        <v>44964</v>
      </c>
      <c r="AG80" s="10" t="s">
        <v>189</v>
      </c>
      <c r="AH80" s="9">
        <v>44964</v>
      </c>
      <c r="AI80" s="10" t="s">
        <v>189</v>
      </c>
      <c r="AJ80" s="9">
        <v>44964</v>
      </c>
      <c r="AK80" s="5"/>
    </row>
    <row r="81" spans="1:37" ht="27" customHeight="1">
      <c r="A81" s="1">
        <v>78</v>
      </c>
      <c r="B81" s="5"/>
      <c r="C81" s="5"/>
      <c r="D81" s="5"/>
      <c r="E81" s="13" t="s">
        <v>347</v>
      </c>
      <c r="F81" s="14" t="s">
        <v>290</v>
      </c>
      <c r="G81" s="1"/>
      <c r="H81" s="14">
        <v>1</v>
      </c>
      <c r="I81" s="5"/>
      <c r="J81" s="1" t="s">
        <v>31</v>
      </c>
      <c r="K81" s="5"/>
      <c r="L81" s="6"/>
      <c r="M81" s="5"/>
      <c r="N81" s="15">
        <v>44964</v>
      </c>
      <c r="O81" s="8">
        <v>0</v>
      </c>
      <c r="P81" s="9">
        <v>44964</v>
      </c>
      <c r="Q81" s="8">
        <v>0</v>
      </c>
      <c r="R81" s="9">
        <v>44964</v>
      </c>
      <c r="S81" s="8">
        <v>0</v>
      </c>
      <c r="T81" s="9">
        <v>44964</v>
      </c>
      <c r="U81" s="8">
        <v>0</v>
      </c>
      <c r="V81" s="9">
        <v>44964</v>
      </c>
      <c r="W81" s="8">
        <v>0</v>
      </c>
      <c r="X81" s="9">
        <v>44964</v>
      </c>
      <c r="Y81" s="8">
        <v>0</v>
      </c>
      <c r="Z81" s="9">
        <v>44964</v>
      </c>
      <c r="AA81" s="8">
        <v>0</v>
      </c>
      <c r="AB81" s="9">
        <v>44964</v>
      </c>
      <c r="AC81" s="8">
        <v>0</v>
      </c>
      <c r="AD81" s="8">
        <v>0</v>
      </c>
      <c r="AE81" s="8">
        <v>0</v>
      </c>
      <c r="AF81" s="9">
        <v>44964</v>
      </c>
      <c r="AG81" s="10" t="s">
        <v>189</v>
      </c>
      <c r="AH81" s="9">
        <v>44964</v>
      </c>
      <c r="AI81" s="10" t="s">
        <v>189</v>
      </c>
      <c r="AJ81" s="9">
        <v>44964</v>
      </c>
      <c r="AK81" s="5"/>
    </row>
    <row r="82" spans="1:37" ht="27" customHeight="1">
      <c r="A82" s="1">
        <v>79</v>
      </c>
      <c r="B82" s="5"/>
      <c r="C82" s="5"/>
      <c r="D82" s="5"/>
      <c r="E82" s="13"/>
      <c r="F82" s="14" t="s">
        <v>301</v>
      </c>
      <c r="G82" s="1"/>
      <c r="H82" s="14">
        <v>2</v>
      </c>
      <c r="I82" s="5"/>
      <c r="J82" s="1"/>
      <c r="K82" s="5"/>
      <c r="L82" s="6"/>
      <c r="M82" s="5"/>
      <c r="N82" s="15">
        <v>44964</v>
      </c>
      <c r="O82" s="8">
        <v>0</v>
      </c>
      <c r="P82" s="9">
        <v>44964</v>
      </c>
      <c r="Q82" s="8">
        <v>0</v>
      </c>
      <c r="R82" s="9">
        <v>44964</v>
      </c>
      <c r="S82" s="8">
        <v>0</v>
      </c>
      <c r="T82" s="9">
        <v>44964</v>
      </c>
      <c r="U82" s="8">
        <v>0</v>
      </c>
      <c r="V82" s="9">
        <v>44964</v>
      </c>
      <c r="W82" s="8">
        <v>0</v>
      </c>
      <c r="X82" s="9">
        <v>44964</v>
      </c>
      <c r="Y82" s="8">
        <v>0</v>
      </c>
      <c r="Z82" s="9">
        <v>44964</v>
      </c>
      <c r="AA82" s="8">
        <v>0</v>
      </c>
      <c r="AB82" s="9">
        <v>44964</v>
      </c>
      <c r="AC82" s="8">
        <v>0</v>
      </c>
      <c r="AD82" s="8">
        <v>0</v>
      </c>
      <c r="AE82" s="8">
        <v>0</v>
      </c>
      <c r="AF82" s="9">
        <v>44964</v>
      </c>
      <c r="AG82" s="10" t="s">
        <v>189</v>
      </c>
      <c r="AH82" s="9">
        <v>44964</v>
      </c>
      <c r="AI82" s="10" t="s">
        <v>189</v>
      </c>
      <c r="AJ82" s="9">
        <v>44964</v>
      </c>
      <c r="AK82" s="5"/>
    </row>
    <row r="83" spans="1:37" ht="27" customHeight="1">
      <c r="A83" s="1">
        <v>80</v>
      </c>
      <c r="B83" s="5"/>
      <c r="C83" s="5"/>
      <c r="D83" s="5"/>
      <c r="E83" s="13" t="s">
        <v>348</v>
      </c>
      <c r="F83" s="14" t="s">
        <v>211</v>
      </c>
      <c r="G83" s="1"/>
      <c r="H83" s="14">
        <v>1</v>
      </c>
      <c r="I83" s="5"/>
      <c r="J83" s="1" t="s">
        <v>30</v>
      </c>
      <c r="K83" s="5"/>
      <c r="L83" s="6"/>
      <c r="M83" s="5"/>
      <c r="N83" s="15">
        <v>44964</v>
      </c>
      <c r="O83" s="8">
        <v>0</v>
      </c>
      <c r="P83" s="9">
        <v>44964</v>
      </c>
      <c r="Q83" s="8">
        <v>0</v>
      </c>
      <c r="R83" s="9">
        <v>44964</v>
      </c>
      <c r="S83" s="8">
        <v>0</v>
      </c>
      <c r="T83" s="9">
        <v>44964</v>
      </c>
      <c r="U83" s="8">
        <v>0</v>
      </c>
      <c r="V83" s="9">
        <v>44964</v>
      </c>
      <c r="W83" s="8">
        <v>0</v>
      </c>
      <c r="X83" s="9">
        <v>44964</v>
      </c>
      <c r="Y83" s="8">
        <v>0</v>
      </c>
      <c r="Z83" s="9">
        <v>44964</v>
      </c>
      <c r="AA83" s="8">
        <v>0</v>
      </c>
      <c r="AB83" s="9">
        <v>44964</v>
      </c>
      <c r="AC83" s="8">
        <v>0</v>
      </c>
      <c r="AD83" s="8">
        <v>0</v>
      </c>
      <c r="AE83" s="8">
        <v>0</v>
      </c>
      <c r="AF83" s="9">
        <v>44964</v>
      </c>
      <c r="AG83" s="10" t="s">
        <v>189</v>
      </c>
      <c r="AH83" s="9">
        <v>44964</v>
      </c>
      <c r="AI83" s="10" t="s">
        <v>189</v>
      </c>
      <c r="AJ83" s="9">
        <v>44964</v>
      </c>
      <c r="AK83" s="5"/>
    </row>
    <row r="84" spans="1:37" ht="27" customHeight="1">
      <c r="A84" s="1">
        <v>81</v>
      </c>
      <c r="B84" s="5"/>
      <c r="C84" s="5"/>
      <c r="D84" s="5"/>
      <c r="E84" s="13" t="s">
        <v>349</v>
      </c>
      <c r="F84" s="14" t="s">
        <v>308</v>
      </c>
      <c r="G84" s="1"/>
      <c r="H84" s="14">
        <v>1</v>
      </c>
      <c r="I84" s="5"/>
      <c r="J84" s="1"/>
      <c r="K84" s="5"/>
      <c r="L84" s="6"/>
      <c r="M84" s="5"/>
      <c r="N84" s="15">
        <v>44964</v>
      </c>
      <c r="O84" s="8">
        <v>0</v>
      </c>
      <c r="P84" s="9">
        <v>44964</v>
      </c>
      <c r="Q84" s="8">
        <v>0</v>
      </c>
      <c r="R84" s="9">
        <v>44964</v>
      </c>
      <c r="S84" s="8">
        <v>0</v>
      </c>
      <c r="T84" s="9">
        <v>44964</v>
      </c>
      <c r="U84" s="8">
        <v>0</v>
      </c>
      <c r="V84" s="9">
        <v>44964</v>
      </c>
      <c r="W84" s="8">
        <v>0</v>
      </c>
      <c r="X84" s="9">
        <v>44964</v>
      </c>
      <c r="Y84" s="8">
        <v>0</v>
      </c>
      <c r="Z84" s="9">
        <v>44964</v>
      </c>
      <c r="AA84" s="8">
        <v>0</v>
      </c>
      <c r="AB84" s="9">
        <v>44964</v>
      </c>
      <c r="AC84" s="8">
        <v>0</v>
      </c>
      <c r="AD84" s="8">
        <v>0</v>
      </c>
      <c r="AE84" s="8">
        <v>0</v>
      </c>
      <c r="AF84" s="9">
        <v>44964</v>
      </c>
      <c r="AG84" s="10" t="s">
        <v>189</v>
      </c>
      <c r="AH84" s="9">
        <v>44964</v>
      </c>
      <c r="AI84" s="10" t="s">
        <v>189</v>
      </c>
      <c r="AJ84" s="9">
        <v>44964</v>
      </c>
      <c r="AK84" s="5"/>
    </row>
    <row r="85" spans="1:37" ht="27" customHeight="1">
      <c r="A85" s="1">
        <v>82</v>
      </c>
      <c r="B85" s="5"/>
      <c r="C85" s="5"/>
      <c r="D85" s="5"/>
      <c r="E85" s="13"/>
      <c r="F85" s="14" t="s">
        <v>208</v>
      </c>
      <c r="G85" s="1"/>
      <c r="H85" s="14">
        <v>2</v>
      </c>
      <c r="I85" s="5"/>
      <c r="J85" s="1"/>
      <c r="K85" s="5"/>
      <c r="L85" s="6"/>
      <c r="M85" s="5"/>
      <c r="N85" s="15">
        <v>44964</v>
      </c>
      <c r="O85" s="8">
        <v>0</v>
      </c>
      <c r="P85" s="9">
        <v>44964</v>
      </c>
      <c r="Q85" s="8">
        <v>0</v>
      </c>
      <c r="R85" s="9">
        <v>44964</v>
      </c>
      <c r="S85" s="8">
        <v>0</v>
      </c>
      <c r="T85" s="9">
        <v>44964</v>
      </c>
      <c r="U85" s="8">
        <v>0</v>
      </c>
      <c r="V85" s="9">
        <v>44964</v>
      </c>
      <c r="W85" s="8">
        <v>0</v>
      </c>
      <c r="X85" s="9">
        <v>44964</v>
      </c>
      <c r="Y85" s="8">
        <v>0</v>
      </c>
      <c r="Z85" s="9">
        <v>44964</v>
      </c>
      <c r="AA85" s="8">
        <v>0</v>
      </c>
      <c r="AB85" s="9">
        <v>44964</v>
      </c>
      <c r="AC85" s="8">
        <v>0</v>
      </c>
      <c r="AD85" s="8">
        <v>0</v>
      </c>
      <c r="AE85" s="8">
        <v>0</v>
      </c>
      <c r="AF85" s="9">
        <v>44964</v>
      </c>
      <c r="AG85" s="10" t="s">
        <v>189</v>
      </c>
      <c r="AH85" s="9">
        <v>44964</v>
      </c>
      <c r="AI85" s="10" t="s">
        <v>189</v>
      </c>
      <c r="AJ85" s="9">
        <v>44964</v>
      </c>
      <c r="AK85" s="5"/>
    </row>
    <row r="86" spans="1:37" ht="27" customHeight="1">
      <c r="A86" s="1">
        <v>83</v>
      </c>
      <c r="B86" s="5"/>
      <c r="C86" s="5"/>
      <c r="D86" s="5"/>
      <c r="E86" s="13" t="s">
        <v>350</v>
      </c>
      <c r="F86" s="14" t="s">
        <v>287</v>
      </c>
      <c r="G86" s="1"/>
      <c r="H86" s="14">
        <v>1</v>
      </c>
      <c r="I86" s="5"/>
      <c r="J86" s="1" t="s">
        <v>198</v>
      </c>
      <c r="K86" s="5"/>
      <c r="L86" s="6"/>
      <c r="M86" s="5"/>
      <c r="N86" s="15" t="s">
        <v>344</v>
      </c>
      <c r="O86" s="8">
        <v>1</v>
      </c>
      <c r="P86" s="9">
        <v>44964</v>
      </c>
      <c r="Q86" s="8">
        <v>0</v>
      </c>
      <c r="R86" s="9">
        <v>44964</v>
      </c>
      <c r="S86" s="8">
        <v>0</v>
      </c>
      <c r="T86" s="9">
        <v>44964</v>
      </c>
      <c r="U86" s="8">
        <v>0</v>
      </c>
      <c r="V86" s="9">
        <v>44964</v>
      </c>
      <c r="W86" s="8">
        <v>0</v>
      </c>
      <c r="X86" s="9">
        <v>44964</v>
      </c>
      <c r="Y86" s="8">
        <v>0</v>
      </c>
      <c r="Z86" s="9">
        <v>44964</v>
      </c>
      <c r="AA86" s="8">
        <v>0</v>
      </c>
      <c r="AB86" s="9">
        <v>44964</v>
      </c>
      <c r="AC86" s="8">
        <v>0</v>
      </c>
      <c r="AD86" s="8">
        <v>0</v>
      </c>
      <c r="AE86" s="8">
        <v>0</v>
      </c>
      <c r="AF86" s="9">
        <v>44964</v>
      </c>
      <c r="AG86" s="10" t="s">
        <v>189</v>
      </c>
      <c r="AH86" s="9">
        <v>44964</v>
      </c>
      <c r="AI86" s="10" t="s">
        <v>189</v>
      </c>
      <c r="AJ86" s="9">
        <v>44964</v>
      </c>
      <c r="AK86" s="5"/>
    </row>
    <row r="87" spans="1:37" ht="27" customHeight="1">
      <c r="A87" s="1">
        <v>84</v>
      </c>
      <c r="B87" s="5"/>
      <c r="C87" s="5"/>
      <c r="D87" s="5"/>
      <c r="E87" s="13" t="s">
        <v>351</v>
      </c>
      <c r="F87" s="14" t="s">
        <v>287</v>
      </c>
      <c r="G87" s="1"/>
      <c r="H87" s="14">
        <v>1</v>
      </c>
      <c r="I87" s="5"/>
      <c r="J87" s="1" t="s">
        <v>198</v>
      </c>
      <c r="K87" s="5"/>
      <c r="L87" s="6"/>
      <c r="M87" s="5"/>
      <c r="N87" s="15" t="s">
        <v>344</v>
      </c>
      <c r="O87" s="8">
        <v>1</v>
      </c>
      <c r="P87" s="9">
        <v>44964</v>
      </c>
      <c r="Q87" s="8">
        <v>0</v>
      </c>
      <c r="R87" s="9">
        <v>44964</v>
      </c>
      <c r="S87" s="8">
        <v>0</v>
      </c>
      <c r="T87" s="9">
        <v>44964</v>
      </c>
      <c r="U87" s="8">
        <v>0</v>
      </c>
      <c r="V87" s="9">
        <v>44964</v>
      </c>
      <c r="W87" s="8">
        <v>0</v>
      </c>
      <c r="X87" s="9">
        <v>44964</v>
      </c>
      <c r="Y87" s="8">
        <v>0</v>
      </c>
      <c r="Z87" s="9">
        <v>44964</v>
      </c>
      <c r="AA87" s="8">
        <v>0</v>
      </c>
      <c r="AB87" s="9">
        <v>44964</v>
      </c>
      <c r="AC87" s="8">
        <v>0</v>
      </c>
      <c r="AD87" s="8">
        <v>0</v>
      </c>
      <c r="AE87" s="8">
        <v>0</v>
      </c>
      <c r="AF87" s="9">
        <v>44964</v>
      </c>
      <c r="AG87" s="10" t="s">
        <v>189</v>
      </c>
      <c r="AH87" s="9">
        <v>44964</v>
      </c>
      <c r="AI87" s="10" t="s">
        <v>189</v>
      </c>
      <c r="AJ87" s="9">
        <v>44964</v>
      </c>
      <c r="AK87" s="5"/>
    </row>
    <row r="88" spans="1:37" ht="27" customHeight="1">
      <c r="A88" s="1">
        <v>85</v>
      </c>
      <c r="B88" s="5"/>
      <c r="C88" s="5"/>
      <c r="D88" s="5"/>
      <c r="E88" s="13" t="s">
        <v>352</v>
      </c>
      <c r="F88" s="14" t="s">
        <v>292</v>
      </c>
      <c r="G88" s="1"/>
      <c r="H88" s="14">
        <v>1</v>
      </c>
      <c r="I88" s="5"/>
      <c r="J88" s="1"/>
      <c r="K88" s="5"/>
      <c r="L88" s="6"/>
      <c r="M88" s="5"/>
      <c r="N88" s="15">
        <v>44964</v>
      </c>
      <c r="O88" s="8">
        <v>0</v>
      </c>
      <c r="P88" s="9">
        <v>44964</v>
      </c>
      <c r="Q88" s="8">
        <v>0</v>
      </c>
      <c r="R88" s="9">
        <v>44964</v>
      </c>
      <c r="S88" s="8">
        <v>0</v>
      </c>
      <c r="T88" s="9">
        <v>44964</v>
      </c>
      <c r="U88" s="8">
        <v>0</v>
      </c>
      <c r="V88" s="9">
        <v>44964</v>
      </c>
      <c r="W88" s="8">
        <v>0</v>
      </c>
      <c r="X88" s="9">
        <v>44964</v>
      </c>
      <c r="Y88" s="8">
        <v>0</v>
      </c>
      <c r="Z88" s="9">
        <v>44964</v>
      </c>
      <c r="AA88" s="8">
        <v>0</v>
      </c>
      <c r="AB88" s="9">
        <v>44964</v>
      </c>
      <c r="AC88" s="8">
        <v>0</v>
      </c>
      <c r="AD88" s="8">
        <v>0</v>
      </c>
      <c r="AE88" s="8">
        <v>0</v>
      </c>
      <c r="AF88" s="9">
        <v>44964</v>
      </c>
      <c r="AG88" s="10" t="s">
        <v>189</v>
      </c>
      <c r="AH88" s="9">
        <v>44964</v>
      </c>
      <c r="AI88" s="10" t="s">
        <v>189</v>
      </c>
      <c r="AJ88" s="9">
        <v>44964</v>
      </c>
      <c r="AK88" s="5"/>
    </row>
    <row r="89" spans="1:37" ht="27" customHeight="1">
      <c r="A89" s="1">
        <v>86</v>
      </c>
      <c r="B89" s="5"/>
      <c r="C89" s="5"/>
      <c r="D89" s="5"/>
      <c r="E89" s="13" t="s">
        <v>353</v>
      </c>
      <c r="F89" s="14" t="s">
        <v>290</v>
      </c>
      <c r="G89" s="1"/>
      <c r="H89" s="14">
        <v>1</v>
      </c>
      <c r="I89" s="5"/>
      <c r="J89" s="1" t="s">
        <v>31</v>
      </c>
      <c r="K89" s="5"/>
      <c r="L89" s="6"/>
      <c r="M89" s="5"/>
      <c r="N89" s="15">
        <v>44964</v>
      </c>
      <c r="O89" s="8">
        <v>0</v>
      </c>
      <c r="P89" s="9">
        <v>44964</v>
      </c>
      <c r="Q89" s="8">
        <v>0</v>
      </c>
      <c r="R89" s="9">
        <v>44964</v>
      </c>
      <c r="S89" s="8">
        <v>0</v>
      </c>
      <c r="T89" s="9">
        <v>44964</v>
      </c>
      <c r="U89" s="8">
        <v>0</v>
      </c>
      <c r="V89" s="9">
        <v>44964</v>
      </c>
      <c r="W89" s="8">
        <v>0</v>
      </c>
      <c r="X89" s="9">
        <v>44964</v>
      </c>
      <c r="Y89" s="8">
        <v>0</v>
      </c>
      <c r="Z89" s="9">
        <v>44964</v>
      </c>
      <c r="AA89" s="8">
        <v>0</v>
      </c>
      <c r="AB89" s="9">
        <v>44964</v>
      </c>
      <c r="AC89" s="8">
        <v>0</v>
      </c>
      <c r="AD89" s="8">
        <v>0</v>
      </c>
      <c r="AE89" s="8">
        <v>0</v>
      </c>
      <c r="AF89" s="9">
        <v>44964</v>
      </c>
      <c r="AG89" s="10" t="s">
        <v>189</v>
      </c>
      <c r="AH89" s="9">
        <v>44964</v>
      </c>
      <c r="AI89" s="10" t="s">
        <v>189</v>
      </c>
      <c r="AJ89" s="9">
        <v>44964</v>
      </c>
      <c r="AK89" s="5"/>
    </row>
    <row r="90" spans="1:37" ht="27" customHeight="1">
      <c r="A90" s="1">
        <v>87</v>
      </c>
      <c r="B90" s="5"/>
      <c r="C90" s="5"/>
      <c r="D90" s="5"/>
      <c r="E90" s="13"/>
      <c r="F90" s="14" t="s">
        <v>301</v>
      </c>
      <c r="G90" s="1"/>
      <c r="H90" s="14">
        <v>2</v>
      </c>
      <c r="I90" s="5"/>
      <c r="J90" s="1"/>
      <c r="K90" s="5"/>
      <c r="L90" s="6"/>
      <c r="M90" s="5"/>
      <c r="N90" s="15">
        <v>44964</v>
      </c>
      <c r="O90" s="8">
        <v>0</v>
      </c>
      <c r="P90" s="9">
        <v>44964</v>
      </c>
      <c r="Q90" s="8">
        <v>0</v>
      </c>
      <c r="R90" s="9">
        <v>44964</v>
      </c>
      <c r="S90" s="8">
        <v>0</v>
      </c>
      <c r="T90" s="9">
        <v>44964</v>
      </c>
      <c r="U90" s="8">
        <v>0</v>
      </c>
      <c r="V90" s="9">
        <v>44964</v>
      </c>
      <c r="W90" s="8">
        <v>0</v>
      </c>
      <c r="X90" s="9">
        <v>44964</v>
      </c>
      <c r="Y90" s="8">
        <v>0</v>
      </c>
      <c r="Z90" s="9">
        <v>44964</v>
      </c>
      <c r="AA90" s="8">
        <v>0</v>
      </c>
      <c r="AB90" s="9">
        <v>44964</v>
      </c>
      <c r="AC90" s="8">
        <v>0</v>
      </c>
      <c r="AD90" s="8">
        <v>0</v>
      </c>
      <c r="AE90" s="8">
        <v>0</v>
      </c>
      <c r="AF90" s="9">
        <v>44964</v>
      </c>
      <c r="AG90" s="10" t="s">
        <v>189</v>
      </c>
      <c r="AH90" s="9">
        <v>44964</v>
      </c>
      <c r="AI90" s="10" t="s">
        <v>189</v>
      </c>
      <c r="AJ90" s="9">
        <v>44964</v>
      </c>
      <c r="AK90" s="5"/>
    </row>
    <row r="91" spans="1:37" ht="27" customHeight="1">
      <c r="A91" s="1">
        <v>88</v>
      </c>
      <c r="B91" s="5"/>
      <c r="C91" s="5"/>
      <c r="D91" s="5"/>
      <c r="E91" s="13" t="s">
        <v>354</v>
      </c>
      <c r="F91" s="14" t="s">
        <v>211</v>
      </c>
      <c r="G91" s="1"/>
      <c r="H91" s="14">
        <v>1</v>
      </c>
      <c r="I91" s="5"/>
      <c r="J91" s="1" t="s">
        <v>30</v>
      </c>
      <c r="K91" s="5"/>
      <c r="L91" s="6"/>
      <c r="M91" s="5"/>
      <c r="N91" s="15">
        <v>44964</v>
      </c>
      <c r="O91" s="8">
        <v>0</v>
      </c>
      <c r="P91" s="9">
        <v>44964</v>
      </c>
      <c r="Q91" s="8">
        <v>0</v>
      </c>
      <c r="R91" s="9">
        <v>44964</v>
      </c>
      <c r="S91" s="8">
        <v>0</v>
      </c>
      <c r="T91" s="9">
        <v>44964</v>
      </c>
      <c r="U91" s="8">
        <v>0</v>
      </c>
      <c r="V91" s="9">
        <v>44964</v>
      </c>
      <c r="W91" s="8">
        <v>0</v>
      </c>
      <c r="X91" s="9">
        <v>44964</v>
      </c>
      <c r="Y91" s="8">
        <v>0</v>
      </c>
      <c r="Z91" s="9">
        <v>44964</v>
      </c>
      <c r="AA91" s="8">
        <v>0</v>
      </c>
      <c r="AB91" s="9">
        <v>44964</v>
      </c>
      <c r="AC91" s="8">
        <v>0</v>
      </c>
      <c r="AD91" s="8">
        <v>0</v>
      </c>
      <c r="AE91" s="8">
        <v>0</v>
      </c>
      <c r="AF91" s="9">
        <v>44964</v>
      </c>
      <c r="AG91" s="10" t="s">
        <v>189</v>
      </c>
      <c r="AH91" s="9">
        <v>44964</v>
      </c>
      <c r="AI91" s="10" t="s">
        <v>189</v>
      </c>
      <c r="AJ91" s="9">
        <v>44964</v>
      </c>
      <c r="AK91" s="5"/>
    </row>
    <row r="92" spans="1:37" ht="27" customHeight="1">
      <c r="A92" s="1">
        <v>89</v>
      </c>
      <c r="B92" s="5"/>
      <c r="C92" s="5"/>
      <c r="D92" s="5"/>
      <c r="E92" s="13" t="s">
        <v>355</v>
      </c>
      <c r="F92" s="14" t="s">
        <v>308</v>
      </c>
      <c r="G92" s="1"/>
      <c r="H92" s="14">
        <v>1</v>
      </c>
      <c r="I92" s="5"/>
      <c r="J92" s="1"/>
      <c r="K92" s="5"/>
      <c r="L92" s="6"/>
      <c r="M92" s="5"/>
      <c r="N92" s="15">
        <v>44964</v>
      </c>
      <c r="O92" s="8">
        <v>0</v>
      </c>
      <c r="P92" s="9">
        <v>44964</v>
      </c>
      <c r="Q92" s="8">
        <v>0</v>
      </c>
      <c r="R92" s="9">
        <v>44964</v>
      </c>
      <c r="S92" s="8">
        <v>0</v>
      </c>
      <c r="T92" s="9">
        <v>44964</v>
      </c>
      <c r="U92" s="8">
        <v>0</v>
      </c>
      <c r="V92" s="9">
        <v>44964</v>
      </c>
      <c r="W92" s="8">
        <v>0</v>
      </c>
      <c r="X92" s="9">
        <v>44964</v>
      </c>
      <c r="Y92" s="8">
        <v>0</v>
      </c>
      <c r="Z92" s="9">
        <v>44964</v>
      </c>
      <c r="AA92" s="8">
        <v>0</v>
      </c>
      <c r="AB92" s="9">
        <v>44964</v>
      </c>
      <c r="AC92" s="8">
        <v>0</v>
      </c>
      <c r="AD92" s="8">
        <v>0</v>
      </c>
      <c r="AE92" s="8">
        <v>0</v>
      </c>
      <c r="AF92" s="9">
        <v>44964</v>
      </c>
      <c r="AG92" s="10" t="s">
        <v>189</v>
      </c>
      <c r="AH92" s="9">
        <v>44964</v>
      </c>
      <c r="AI92" s="10" t="s">
        <v>189</v>
      </c>
      <c r="AJ92" s="9">
        <v>44964</v>
      </c>
      <c r="AK92" s="5"/>
    </row>
    <row r="93" spans="1:37" ht="27" customHeight="1">
      <c r="A93" s="1">
        <v>90</v>
      </c>
      <c r="B93" s="5"/>
      <c r="C93" s="5"/>
      <c r="D93" s="5"/>
      <c r="E93" s="13"/>
      <c r="F93" s="14" t="s">
        <v>208</v>
      </c>
      <c r="G93" s="1"/>
      <c r="H93" s="14">
        <v>2</v>
      </c>
      <c r="I93" s="5"/>
      <c r="J93" s="1"/>
      <c r="K93" s="5"/>
      <c r="L93" s="6"/>
      <c r="M93" s="5"/>
      <c r="N93" s="15">
        <v>44964</v>
      </c>
      <c r="O93" s="8">
        <v>0</v>
      </c>
      <c r="P93" s="9">
        <v>44964</v>
      </c>
      <c r="Q93" s="8">
        <v>0</v>
      </c>
      <c r="R93" s="9">
        <v>44964</v>
      </c>
      <c r="S93" s="8">
        <v>0</v>
      </c>
      <c r="T93" s="9">
        <v>44964</v>
      </c>
      <c r="U93" s="8">
        <v>0</v>
      </c>
      <c r="V93" s="9">
        <v>44964</v>
      </c>
      <c r="W93" s="8">
        <v>0</v>
      </c>
      <c r="X93" s="9">
        <v>44964</v>
      </c>
      <c r="Y93" s="8">
        <v>0</v>
      </c>
      <c r="Z93" s="9">
        <v>44964</v>
      </c>
      <c r="AA93" s="8">
        <v>0</v>
      </c>
      <c r="AB93" s="9">
        <v>44964</v>
      </c>
      <c r="AC93" s="8">
        <v>0</v>
      </c>
      <c r="AD93" s="8">
        <v>0</v>
      </c>
      <c r="AE93" s="8">
        <v>0</v>
      </c>
      <c r="AF93" s="9">
        <v>44964</v>
      </c>
      <c r="AG93" s="10" t="s">
        <v>189</v>
      </c>
      <c r="AH93" s="9">
        <v>44964</v>
      </c>
      <c r="AI93" s="10" t="s">
        <v>189</v>
      </c>
      <c r="AJ93" s="9">
        <v>44964</v>
      </c>
      <c r="AK93" s="5"/>
    </row>
    <row r="94" spans="1:37" ht="27" customHeight="1">
      <c r="A94" s="1">
        <v>91</v>
      </c>
      <c r="B94" s="5"/>
      <c r="C94" s="5"/>
      <c r="D94" s="5"/>
      <c r="E94" s="13" t="s">
        <v>356</v>
      </c>
      <c r="F94" s="14" t="s">
        <v>287</v>
      </c>
      <c r="G94" s="1"/>
      <c r="H94" s="14">
        <v>1</v>
      </c>
      <c r="I94" s="5"/>
      <c r="J94" s="1" t="s">
        <v>198</v>
      </c>
      <c r="K94" s="5"/>
      <c r="L94" s="6"/>
      <c r="M94" s="5"/>
      <c r="N94" s="15">
        <v>44999</v>
      </c>
      <c r="O94" s="8">
        <v>1</v>
      </c>
      <c r="P94" s="9">
        <v>44964</v>
      </c>
      <c r="Q94" s="8">
        <v>0</v>
      </c>
      <c r="R94" s="9">
        <v>44964</v>
      </c>
      <c r="S94" s="8">
        <v>0</v>
      </c>
      <c r="T94" s="9">
        <v>44964</v>
      </c>
      <c r="U94" s="8">
        <v>0</v>
      </c>
      <c r="V94" s="9">
        <v>44964</v>
      </c>
      <c r="W94" s="8">
        <v>0</v>
      </c>
      <c r="X94" s="9">
        <v>44964</v>
      </c>
      <c r="Y94" s="8">
        <v>0</v>
      </c>
      <c r="Z94" s="9">
        <v>44964</v>
      </c>
      <c r="AA94" s="8">
        <v>0</v>
      </c>
      <c r="AB94" s="9">
        <v>44964</v>
      </c>
      <c r="AC94" s="8">
        <v>0</v>
      </c>
      <c r="AD94" s="8">
        <v>0</v>
      </c>
      <c r="AE94" s="8">
        <v>0</v>
      </c>
      <c r="AF94" s="9">
        <v>44964</v>
      </c>
      <c r="AG94" s="10" t="s">
        <v>189</v>
      </c>
      <c r="AH94" s="9">
        <v>44964</v>
      </c>
      <c r="AI94" s="10" t="s">
        <v>189</v>
      </c>
      <c r="AJ94" s="9">
        <v>44964</v>
      </c>
      <c r="AK94" s="5"/>
    </row>
    <row r="95" spans="1:37" ht="27" customHeight="1">
      <c r="A95" s="1">
        <v>92</v>
      </c>
      <c r="B95" s="5"/>
      <c r="C95" s="5"/>
      <c r="D95" s="5"/>
      <c r="E95" s="13"/>
      <c r="F95" s="14" t="s">
        <v>301</v>
      </c>
      <c r="G95" s="1"/>
      <c r="H95" s="14">
        <v>1</v>
      </c>
      <c r="I95" s="5"/>
      <c r="J95" s="1"/>
      <c r="K95" s="5"/>
      <c r="L95" s="6"/>
      <c r="M95" s="5"/>
      <c r="N95" s="15">
        <v>44964</v>
      </c>
      <c r="O95" s="8">
        <v>0</v>
      </c>
      <c r="P95" s="9">
        <v>44964</v>
      </c>
      <c r="Q95" s="8">
        <v>0</v>
      </c>
      <c r="R95" s="9">
        <v>44964</v>
      </c>
      <c r="S95" s="8">
        <v>0</v>
      </c>
      <c r="T95" s="9">
        <v>44964</v>
      </c>
      <c r="U95" s="8">
        <v>0</v>
      </c>
      <c r="V95" s="9">
        <v>44964</v>
      </c>
      <c r="W95" s="8">
        <v>0</v>
      </c>
      <c r="X95" s="9">
        <v>44964</v>
      </c>
      <c r="Y95" s="8">
        <v>0</v>
      </c>
      <c r="Z95" s="9">
        <v>44964</v>
      </c>
      <c r="AA95" s="8">
        <v>0</v>
      </c>
      <c r="AB95" s="9">
        <v>44964</v>
      </c>
      <c r="AC95" s="8">
        <v>0</v>
      </c>
      <c r="AD95" s="8">
        <v>0</v>
      </c>
      <c r="AE95" s="8">
        <v>0</v>
      </c>
      <c r="AF95" s="9">
        <v>44964</v>
      </c>
      <c r="AG95" s="10" t="s">
        <v>189</v>
      </c>
      <c r="AH95" s="9">
        <v>44964</v>
      </c>
      <c r="AI95" s="10" t="s">
        <v>189</v>
      </c>
      <c r="AJ95" s="9">
        <v>44964</v>
      </c>
      <c r="AK95" s="5"/>
    </row>
    <row r="96" spans="1:37" ht="27" customHeight="1">
      <c r="A96" s="1">
        <v>93</v>
      </c>
      <c r="B96" s="5"/>
      <c r="C96" s="5"/>
      <c r="D96" s="5"/>
      <c r="E96" s="13" t="s">
        <v>357</v>
      </c>
      <c r="F96" s="14" t="s">
        <v>290</v>
      </c>
      <c r="G96" s="1"/>
      <c r="H96" s="14">
        <v>1</v>
      </c>
      <c r="I96" s="5"/>
      <c r="J96" s="1" t="s">
        <v>31</v>
      </c>
      <c r="K96" s="5"/>
      <c r="L96" s="6"/>
      <c r="M96" s="5"/>
      <c r="N96" s="15">
        <v>44964</v>
      </c>
      <c r="O96" s="8">
        <v>0</v>
      </c>
      <c r="P96" s="9">
        <v>44964</v>
      </c>
      <c r="Q96" s="8">
        <v>0</v>
      </c>
      <c r="R96" s="9">
        <v>44964</v>
      </c>
      <c r="S96" s="8">
        <v>0</v>
      </c>
      <c r="T96" s="9">
        <v>44964</v>
      </c>
      <c r="U96" s="8">
        <v>0</v>
      </c>
      <c r="V96" s="9">
        <v>44964</v>
      </c>
      <c r="W96" s="8">
        <v>0</v>
      </c>
      <c r="X96" s="9">
        <v>44964</v>
      </c>
      <c r="Y96" s="8">
        <v>0</v>
      </c>
      <c r="Z96" s="9">
        <v>44964</v>
      </c>
      <c r="AA96" s="8">
        <v>0</v>
      </c>
      <c r="AB96" s="9">
        <v>44964</v>
      </c>
      <c r="AC96" s="8">
        <v>0</v>
      </c>
      <c r="AD96" s="8">
        <v>0</v>
      </c>
      <c r="AE96" s="8">
        <v>0</v>
      </c>
      <c r="AF96" s="9">
        <v>44964</v>
      </c>
      <c r="AG96" s="10" t="s">
        <v>189</v>
      </c>
      <c r="AH96" s="9">
        <v>44964</v>
      </c>
      <c r="AI96" s="10" t="s">
        <v>189</v>
      </c>
      <c r="AJ96" s="9">
        <v>44964</v>
      </c>
      <c r="AK96" s="5"/>
    </row>
    <row r="97" spans="1:37" ht="27" customHeight="1">
      <c r="A97" s="1">
        <v>94</v>
      </c>
      <c r="B97" s="5"/>
      <c r="C97" s="5"/>
      <c r="D97" s="5"/>
      <c r="E97" s="13"/>
      <c r="F97" s="14" t="s">
        <v>208</v>
      </c>
      <c r="G97" s="1"/>
      <c r="H97" s="14">
        <v>1</v>
      </c>
      <c r="I97" s="5"/>
      <c r="J97" s="1"/>
      <c r="K97" s="5"/>
      <c r="L97" s="6"/>
      <c r="M97" s="5"/>
      <c r="N97" s="15">
        <v>44964</v>
      </c>
      <c r="O97" s="8">
        <v>0</v>
      </c>
      <c r="P97" s="9">
        <v>44964</v>
      </c>
      <c r="Q97" s="8">
        <v>0</v>
      </c>
      <c r="R97" s="9">
        <v>44964</v>
      </c>
      <c r="S97" s="8">
        <v>0</v>
      </c>
      <c r="T97" s="9">
        <v>44964</v>
      </c>
      <c r="U97" s="8">
        <v>0</v>
      </c>
      <c r="V97" s="9">
        <v>44964</v>
      </c>
      <c r="W97" s="8">
        <v>0</v>
      </c>
      <c r="X97" s="9">
        <v>44964</v>
      </c>
      <c r="Y97" s="8">
        <v>0</v>
      </c>
      <c r="Z97" s="9">
        <v>44964</v>
      </c>
      <c r="AA97" s="8">
        <v>0</v>
      </c>
      <c r="AB97" s="9">
        <v>44964</v>
      </c>
      <c r="AC97" s="8">
        <v>0</v>
      </c>
      <c r="AD97" s="8">
        <v>0</v>
      </c>
      <c r="AE97" s="8">
        <v>0</v>
      </c>
      <c r="AF97" s="9">
        <v>44964</v>
      </c>
      <c r="AG97" s="10" t="s">
        <v>189</v>
      </c>
      <c r="AH97" s="9">
        <v>44964</v>
      </c>
      <c r="AI97" s="10" t="s">
        <v>189</v>
      </c>
      <c r="AJ97" s="9">
        <v>44964</v>
      </c>
      <c r="AK97" s="5"/>
    </row>
    <row r="98" spans="1:37" ht="27" customHeight="1">
      <c r="A98" s="1">
        <v>95</v>
      </c>
      <c r="B98" s="5"/>
      <c r="C98" s="5"/>
      <c r="D98" s="5"/>
      <c r="E98" s="13" t="s">
        <v>358</v>
      </c>
      <c r="F98" s="14" t="s">
        <v>292</v>
      </c>
      <c r="G98" s="1"/>
      <c r="H98" s="14">
        <v>1</v>
      </c>
      <c r="I98" s="5"/>
      <c r="J98" s="1"/>
      <c r="K98" s="5"/>
      <c r="L98" s="6"/>
      <c r="M98" s="5"/>
      <c r="N98" s="15">
        <v>44964</v>
      </c>
      <c r="O98" s="8">
        <v>0</v>
      </c>
      <c r="P98" s="9">
        <v>44964</v>
      </c>
      <c r="Q98" s="8">
        <v>0</v>
      </c>
      <c r="R98" s="9">
        <v>44964</v>
      </c>
      <c r="S98" s="8">
        <v>0</v>
      </c>
      <c r="T98" s="9">
        <v>44964</v>
      </c>
      <c r="U98" s="8">
        <v>0</v>
      </c>
      <c r="V98" s="9">
        <v>44964</v>
      </c>
      <c r="W98" s="8">
        <v>0</v>
      </c>
      <c r="X98" s="9">
        <v>44964</v>
      </c>
      <c r="Y98" s="8">
        <v>0</v>
      </c>
      <c r="Z98" s="9">
        <v>44964</v>
      </c>
      <c r="AA98" s="8">
        <v>0</v>
      </c>
      <c r="AB98" s="9">
        <v>44964</v>
      </c>
      <c r="AC98" s="8">
        <v>0</v>
      </c>
      <c r="AD98" s="8">
        <v>0</v>
      </c>
      <c r="AE98" s="8">
        <v>0</v>
      </c>
      <c r="AF98" s="9">
        <v>44964</v>
      </c>
      <c r="AG98" s="10" t="s">
        <v>189</v>
      </c>
      <c r="AH98" s="9">
        <v>44964</v>
      </c>
      <c r="AI98" s="10" t="s">
        <v>189</v>
      </c>
      <c r="AJ98" s="9">
        <v>44964</v>
      </c>
      <c r="AK98" s="5"/>
    </row>
    <row r="99" spans="1:37" ht="27" customHeight="1">
      <c r="A99" s="1">
        <v>96</v>
      </c>
      <c r="B99" s="5"/>
      <c r="C99" s="5"/>
      <c r="D99" s="5"/>
      <c r="E99" s="13" t="s">
        <v>359</v>
      </c>
      <c r="F99" s="14" t="s">
        <v>287</v>
      </c>
      <c r="G99" s="1"/>
      <c r="H99" s="14">
        <v>1</v>
      </c>
      <c r="I99" s="5"/>
      <c r="J99" s="1" t="s">
        <v>198</v>
      </c>
      <c r="K99" s="5"/>
      <c r="L99" s="6"/>
      <c r="M99" s="5"/>
      <c r="N99" s="15">
        <v>44999</v>
      </c>
      <c r="O99" s="8">
        <v>1</v>
      </c>
      <c r="P99" s="9">
        <v>44964</v>
      </c>
      <c r="Q99" s="8">
        <v>0</v>
      </c>
      <c r="R99" s="9">
        <v>44964</v>
      </c>
      <c r="S99" s="8">
        <v>0</v>
      </c>
      <c r="T99" s="9">
        <v>44964</v>
      </c>
      <c r="U99" s="8">
        <v>0</v>
      </c>
      <c r="V99" s="9">
        <v>44964</v>
      </c>
      <c r="W99" s="8">
        <v>0</v>
      </c>
      <c r="X99" s="9">
        <v>44964</v>
      </c>
      <c r="Y99" s="8">
        <v>0</v>
      </c>
      <c r="Z99" s="9">
        <v>44964</v>
      </c>
      <c r="AA99" s="8">
        <v>0</v>
      </c>
      <c r="AB99" s="9">
        <v>44964</v>
      </c>
      <c r="AC99" s="8">
        <v>0</v>
      </c>
      <c r="AD99" s="8">
        <v>0</v>
      </c>
      <c r="AE99" s="8">
        <v>0</v>
      </c>
      <c r="AF99" s="9">
        <v>44964</v>
      </c>
      <c r="AG99" s="10" t="s">
        <v>189</v>
      </c>
      <c r="AH99" s="9">
        <v>44964</v>
      </c>
      <c r="AI99" s="10" t="s">
        <v>189</v>
      </c>
      <c r="AJ99" s="9">
        <v>44964</v>
      </c>
      <c r="AK99" s="5"/>
    </row>
    <row r="100" spans="1:37" ht="27" customHeight="1">
      <c r="A100" s="1">
        <v>97</v>
      </c>
      <c r="B100" s="5"/>
      <c r="C100" s="5"/>
      <c r="D100" s="5"/>
      <c r="E100" s="13"/>
      <c r="F100" s="14" t="s">
        <v>301</v>
      </c>
      <c r="G100" s="1"/>
      <c r="H100" s="14">
        <v>1</v>
      </c>
      <c r="I100" s="5"/>
      <c r="J100" s="1"/>
      <c r="K100" s="5"/>
      <c r="L100" s="6"/>
      <c r="M100" s="5"/>
      <c r="N100" s="15">
        <v>44964</v>
      </c>
      <c r="O100" s="8">
        <v>0</v>
      </c>
      <c r="P100" s="9">
        <v>44964</v>
      </c>
      <c r="Q100" s="8">
        <v>0</v>
      </c>
      <c r="R100" s="9">
        <v>44964</v>
      </c>
      <c r="S100" s="8">
        <v>0</v>
      </c>
      <c r="T100" s="9">
        <v>44964</v>
      </c>
      <c r="U100" s="8">
        <v>0</v>
      </c>
      <c r="V100" s="9">
        <v>44964</v>
      </c>
      <c r="W100" s="8">
        <v>0</v>
      </c>
      <c r="X100" s="9">
        <v>44964</v>
      </c>
      <c r="Y100" s="8">
        <v>0</v>
      </c>
      <c r="Z100" s="9">
        <v>44964</v>
      </c>
      <c r="AA100" s="8">
        <v>0</v>
      </c>
      <c r="AB100" s="9">
        <v>44964</v>
      </c>
      <c r="AC100" s="8">
        <v>0</v>
      </c>
      <c r="AD100" s="8">
        <v>0</v>
      </c>
      <c r="AE100" s="8">
        <v>0</v>
      </c>
      <c r="AF100" s="9">
        <v>44964</v>
      </c>
      <c r="AG100" s="10" t="s">
        <v>189</v>
      </c>
      <c r="AH100" s="9">
        <v>44964</v>
      </c>
      <c r="AI100" s="10" t="s">
        <v>189</v>
      </c>
      <c r="AJ100" s="9">
        <v>44964</v>
      </c>
      <c r="AK100" s="5"/>
    </row>
    <row r="101" spans="1:37" ht="27" customHeight="1">
      <c r="A101" s="1">
        <v>98</v>
      </c>
      <c r="B101" s="5"/>
      <c r="C101" s="5"/>
      <c r="D101" s="5"/>
      <c r="E101" s="13"/>
      <c r="F101" s="14" t="s">
        <v>208</v>
      </c>
      <c r="G101" s="1"/>
      <c r="H101" s="14">
        <v>1</v>
      </c>
      <c r="I101" s="5"/>
      <c r="J101" s="1"/>
      <c r="K101" s="5"/>
      <c r="L101" s="6"/>
      <c r="M101" s="5"/>
      <c r="N101" s="15">
        <v>44964</v>
      </c>
      <c r="O101" s="8">
        <v>0</v>
      </c>
      <c r="P101" s="9">
        <v>44964</v>
      </c>
      <c r="Q101" s="8">
        <v>0</v>
      </c>
      <c r="R101" s="9">
        <v>44964</v>
      </c>
      <c r="S101" s="8">
        <v>0</v>
      </c>
      <c r="T101" s="9">
        <v>44964</v>
      </c>
      <c r="U101" s="8">
        <v>0</v>
      </c>
      <c r="V101" s="9">
        <v>44964</v>
      </c>
      <c r="W101" s="8">
        <v>0</v>
      </c>
      <c r="X101" s="9">
        <v>44964</v>
      </c>
      <c r="Y101" s="8">
        <v>0</v>
      </c>
      <c r="Z101" s="9">
        <v>44964</v>
      </c>
      <c r="AA101" s="8">
        <v>0</v>
      </c>
      <c r="AB101" s="9">
        <v>44964</v>
      </c>
      <c r="AC101" s="8">
        <v>0</v>
      </c>
      <c r="AD101" s="8">
        <v>0</v>
      </c>
      <c r="AE101" s="8">
        <v>0</v>
      </c>
      <c r="AF101" s="9">
        <v>44964</v>
      </c>
      <c r="AG101" s="10" t="s">
        <v>189</v>
      </c>
      <c r="AH101" s="9">
        <v>44964</v>
      </c>
      <c r="AI101" s="10" t="s">
        <v>189</v>
      </c>
      <c r="AJ101" s="9">
        <v>44964</v>
      </c>
      <c r="AK101" s="5"/>
    </row>
    <row r="102" spans="1:37" ht="27" customHeight="1">
      <c r="A102" s="1">
        <v>99</v>
      </c>
      <c r="B102" s="5"/>
      <c r="C102" s="5"/>
      <c r="D102" s="5"/>
      <c r="E102" s="13" t="s">
        <v>360</v>
      </c>
      <c r="F102" s="14" t="s">
        <v>290</v>
      </c>
      <c r="G102" s="1"/>
      <c r="H102" s="14">
        <v>1</v>
      </c>
      <c r="I102" s="5"/>
      <c r="J102" s="1" t="s">
        <v>31</v>
      </c>
      <c r="K102" s="5"/>
      <c r="L102" s="6"/>
      <c r="M102" s="5"/>
      <c r="N102" s="15">
        <v>44964</v>
      </c>
      <c r="O102" s="8">
        <v>0</v>
      </c>
      <c r="P102" s="9">
        <v>44964</v>
      </c>
      <c r="Q102" s="8">
        <v>0</v>
      </c>
      <c r="R102" s="9">
        <v>44964</v>
      </c>
      <c r="S102" s="8">
        <v>0</v>
      </c>
      <c r="T102" s="9">
        <v>44964</v>
      </c>
      <c r="U102" s="8">
        <v>0</v>
      </c>
      <c r="V102" s="9">
        <v>44964</v>
      </c>
      <c r="W102" s="8">
        <v>0</v>
      </c>
      <c r="X102" s="9">
        <v>44964</v>
      </c>
      <c r="Y102" s="8">
        <v>0</v>
      </c>
      <c r="Z102" s="9">
        <v>44964</v>
      </c>
      <c r="AA102" s="8">
        <v>0</v>
      </c>
      <c r="AB102" s="9">
        <v>44964</v>
      </c>
      <c r="AC102" s="8">
        <v>0</v>
      </c>
      <c r="AD102" s="8">
        <v>0</v>
      </c>
      <c r="AE102" s="8">
        <v>0</v>
      </c>
      <c r="AF102" s="9">
        <v>44964</v>
      </c>
      <c r="AG102" s="10" t="s">
        <v>189</v>
      </c>
      <c r="AH102" s="9">
        <v>44964</v>
      </c>
      <c r="AI102" s="10" t="s">
        <v>189</v>
      </c>
      <c r="AJ102" s="9">
        <v>44964</v>
      </c>
      <c r="AK102" s="5"/>
    </row>
    <row r="103" spans="1:37" ht="27" customHeight="1">
      <c r="A103" s="1">
        <v>100</v>
      </c>
      <c r="B103" s="5"/>
      <c r="C103" s="5"/>
      <c r="D103" s="5"/>
      <c r="E103" s="13"/>
      <c r="F103" s="14" t="s">
        <v>208</v>
      </c>
      <c r="G103" s="1"/>
      <c r="H103" s="14">
        <v>1</v>
      </c>
      <c r="I103" s="5"/>
      <c r="J103" s="1"/>
      <c r="K103" s="5"/>
      <c r="L103" s="6"/>
      <c r="M103" s="5"/>
      <c r="N103" s="15">
        <v>44964</v>
      </c>
      <c r="O103" s="8">
        <v>0</v>
      </c>
      <c r="P103" s="9">
        <v>44964</v>
      </c>
      <c r="Q103" s="8">
        <v>0</v>
      </c>
      <c r="R103" s="9">
        <v>44964</v>
      </c>
      <c r="S103" s="8">
        <v>0</v>
      </c>
      <c r="T103" s="9">
        <v>44964</v>
      </c>
      <c r="U103" s="8">
        <v>0</v>
      </c>
      <c r="V103" s="9">
        <v>44964</v>
      </c>
      <c r="W103" s="8">
        <v>0</v>
      </c>
      <c r="X103" s="9">
        <v>44964</v>
      </c>
      <c r="Y103" s="8">
        <v>0</v>
      </c>
      <c r="Z103" s="9">
        <v>44964</v>
      </c>
      <c r="AA103" s="8">
        <v>0</v>
      </c>
      <c r="AB103" s="9">
        <v>44964</v>
      </c>
      <c r="AC103" s="8">
        <v>0</v>
      </c>
      <c r="AD103" s="8">
        <v>0</v>
      </c>
      <c r="AE103" s="8">
        <v>0</v>
      </c>
      <c r="AF103" s="9">
        <v>44964</v>
      </c>
      <c r="AG103" s="10" t="s">
        <v>189</v>
      </c>
      <c r="AH103" s="9">
        <v>44964</v>
      </c>
      <c r="AI103" s="10" t="s">
        <v>189</v>
      </c>
      <c r="AJ103" s="9">
        <v>44964</v>
      </c>
      <c r="AK103" s="5"/>
    </row>
    <row r="104" spans="1:37" ht="27" customHeight="1">
      <c r="A104" s="1">
        <v>101</v>
      </c>
      <c r="B104" s="5"/>
      <c r="C104" s="5"/>
      <c r="D104" s="5"/>
      <c r="E104" s="13" t="s">
        <v>361</v>
      </c>
      <c r="F104" s="14" t="s">
        <v>292</v>
      </c>
      <c r="G104" s="1"/>
      <c r="H104" s="14">
        <v>1</v>
      </c>
      <c r="I104" s="5"/>
      <c r="J104" s="1"/>
      <c r="K104" s="5"/>
      <c r="L104" s="6"/>
      <c r="M104" s="5"/>
      <c r="N104" s="15">
        <v>44964</v>
      </c>
      <c r="O104" s="8">
        <v>0</v>
      </c>
      <c r="P104" s="9">
        <v>44964</v>
      </c>
      <c r="Q104" s="8">
        <v>0</v>
      </c>
      <c r="R104" s="9">
        <v>44964</v>
      </c>
      <c r="S104" s="8">
        <v>0</v>
      </c>
      <c r="T104" s="9">
        <v>44964</v>
      </c>
      <c r="U104" s="8">
        <v>0</v>
      </c>
      <c r="V104" s="9">
        <v>44964</v>
      </c>
      <c r="W104" s="8">
        <v>0</v>
      </c>
      <c r="X104" s="9">
        <v>44964</v>
      </c>
      <c r="Y104" s="8">
        <v>0</v>
      </c>
      <c r="Z104" s="9">
        <v>44964</v>
      </c>
      <c r="AA104" s="8">
        <v>0</v>
      </c>
      <c r="AB104" s="9">
        <v>44964</v>
      </c>
      <c r="AC104" s="8">
        <v>0</v>
      </c>
      <c r="AD104" s="8">
        <v>0</v>
      </c>
      <c r="AE104" s="8">
        <v>0</v>
      </c>
      <c r="AF104" s="9">
        <v>44964</v>
      </c>
      <c r="AG104" s="10" t="s">
        <v>189</v>
      </c>
      <c r="AH104" s="9">
        <v>44964</v>
      </c>
      <c r="AI104" s="10" t="s">
        <v>189</v>
      </c>
      <c r="AJ104" s="9">
        <v>44964</v>
      </c>
      <c r="AK104" s="5"/>
    </row>
    <row r="105" spans="1:37" ht="27" customHeight="1">
      <c r="A105" s="1">
        <v>102</v>
      </c>
      <c r="B105" s="5"/>
      <c r="C105" s="5"/>
      <c r="D105" s="5"/>
      <c r="E105" s="13" t="s">
        <v>362</v>
      </c>
      <c r="F105" s="14" t="s">
        <v>287</v>
      </c>
      <c r="G105" s="1"/>
      <c r="H105" s="14">
        <v>1</v>
      </c>
      <c r="I105" s="5"/>
      <c r="J105" s="1" t="s">
        <v>198</v>
      </c>
      <c r="K105" s="5"/>
      <c r="L105" s="6"/>
      <c r="M105" s="5"/>
      <c r="N105" s="15">
        <v>44999</v>
      </c>
      <c r="O105" s="8">
        <v>1</v>
      </c>
      <c r="P105" s="9">
        <v>44964</v>
      </c>
      <c r="Q105" s="8">
        <v>0</v>
      </c>
      <c r="R105" s="9">
        <v>44964</v>
      </c>
      <c r="S105" s="8">
        <v>0</v>
      </c>
      <c r="T105" s="9">
        <v>44964</v>
      </c>
      <c r="U105" s="8">
        <v>0</v>
      </c>
      <c r="V105" s="9">
        <v>44964</v>
      </c>
      <c r="W105" s="8">
        <v>0</v>
      </c>
      <c r="X105" s="9">
        <v>44964</v>
      </c>
      <c r="Y105" s="8">
        <v>0</v>
      </c>
      <c r="Z105" s="9">
        <v>44964</v>
      </c>
      <c r="AA105" s="8">
        <v>0</v>
      </c>
      <c r="AB105" s="9">
        <v>44964</v>
      </c>
      <c r="AC105" s="8">
        <v>0</v>
      </c>
      <c r="AD105" s="8">
        <v>0</v>
      </c>
      <c r="AE105" s="8">
        <v>0</v>
      </c>
      <c r="AF105" s="9">
        <v>44964</v>
      </c>
      <c r="AG105" s="10" t="s">
        <v>189</v>
      </c>
      <c r="AH105" s="9">
        <v>44964</v>
      </c>
      <c r="AI105" s="10" t="s">
        <v>189</v>
      </c>
      <c r="AJ105" s="9">
        <v>44964</v>
      </c>
      <c r="AK105" s="5"/>
    </row>
    <row r="106" spans="1:37" ht="27" customHeight="1">
      <c r="A106" s="1">
        <v>103</v>
      </c>
      <c r="B106" s="5"/>
      <c r="C106" s="5"/>
      <c r="D106" s="5"/>
      <c r="E106" s="13"/>
      <c r="F106" s="14" t="s">
        <v>301</v>
      </c>
      <c r="G106" s="1"/>
      <c r="H106" s="14">
        <v>1</v>
      </c>
      <c r="I106" s="5"/>
      <c r="J106" s="1"/>
      <c r="K106" s="5"/>
      <c r="L106" s="6"/>
      <c r="M106" s="5"/>
      <c r="N106" s="15">
        <v>44964</v>
      </c>
      <c r="O106" s="8">
        <v>0</v>
      </c>
      <c r="P106" s="9">
        <v>44964</v>
      </c>
      <c r="Q106" s="8">
        <v>0</v>
      </c>
      <c r="R106" s="9">
        <v>44964</v>
      </c>
      <c r="S106" s="8">
        <v>0</v>
      </c>
      <c r="T106" s="9">
        <v>44964</v>
      </c>
      <c r="U106" s="8">
        <v>0</v>
      </c>
      <c r="V106" s="9">
        <v>44964</v>
      </c>
      <c r="W106" s="8">
        <v>0</v>
      </c>
      <c r="X106" s="9">
        <v>44964</v>
      </c>
      <c r="Y106" s="8">
        <v>0</v>
      </c>
      <c r="Z106" s="9">
        <v>44964</v>
      </c>
      <c r="AA106" s="8">
        <v>0</v>
      </c>
      <c r="AB106" s="9">
        <v>44964</v>
      </c>
      <c r="AC106" s="8">
        <v>0</v>
      </c>
      <c r="AD106" s="8">
        <v>0</v>
      </c>
      <c r="AE106" s="8">
        <v>0</v>
      </c>
      <c r="AF106" s="9">
        <v>44964</v>
      </c>
      <c r="AG106" s="10" t="s">
        <v>189</v>
      </c>
      <c r="AH106" s="9">
        <v>44964</v>
      </c>
      <c r="AI106" s="10" t="s">
        <v>189</v>
      </c>
      <c r="AJ106" s="9">
        <v>44964</v>
      </c>
      <c r="AK106" s="5"/>
    </row>
    <row r="107" spans="1:37" ht="27" customHeight="1">
      <c r="A107" s="1">
        <v>104</v>
      </c>
      <c r="B107" s="5"/>
      <c r="C107" s="5"/>
      <c r="D107" s="5"/>
      <c r="E107" s="13"/>
      <c r="F107" s="14" t="s">
        <v>208</v>
      </c>
      <c r="G107" s="1"/>
      <c r="H107" s="14">
        <v>1</v>
      </c>
      <c r="I107" s="5"/>
      <c r="J107" s="1"/>
      <c r="K107" s="5"/>
      <c r="L107" s="6"/>
      <c r="M107" s="5"/>
      <c r="N107" s="15">
        <v>44964</v>
      </c>
      <c r="O107" s="8">
        <v>0</v>
      </c>
      <c r="P107" s="9">
        <v>44964</v>
      </c>
      <c r="Q107" s="8">
        <v>0</v>
      </c>
      <c r="R107" s="9">
        <v>44964</v>
      </c>
      <c r="S107" s="8">
        <v>0</v>
      </c>
      <c r="T107" s="9">
        <v>44964</v>
      </c>
      <c r="U107" s="8">
        <v>0</v>
      </c>
      <c r="V107" s="9">
        <v>44964</v>
      </c>
      <c r="W107" s="8">
        <v>0</v>
      </c>
      <c r="X107" s="9">
        <v>44964</v>
      </c>
      <c r="Y107" s="8">
        <v>0</v>
      </c>
      <c r="Z107" s="9">
        <v>44964</v>
      </c>
      <c r="AA107" s="8">
        <v>0</v>
      </c>
      <c r="AB107" s="9">
        <v>44964</v>
      </c>
      <c r="AC107" s="8">
        <v>0</v>
      </c>
      <c r="AD107" s="8">
        <v>0</v>
      </c>
      <c r="AE107" s="8">
        <v>0</v>
      </c>
      <c r="AF107" s="9">
        <v>44964</v>
      </c>
      <c r="AG107" s="10" t="s">
        <v>189</v>
      </c>
      <c r="AH107" s="9">
        <v>44964</v>
      </c>
      <c r="AI107" s="10" t="s">
        <v>189</v>
      </c>
      <c r="AJ107" s="9">
        <v>44964</v>
      </c>
      <c r="AK107" s="5"/>
    </row>
    <row r="108" spans="1:37" ht="27" customHeight="1">
      <c r="A108" s="1">
        <v>105</v>
      </c>
      <c r="B108" s="5"/>
      <c r="C108" s="5"/>
      <c r="D108" s="5"/>
      <c r="E108" s="13" t="s">
        <v>363</v>
      </c>
      <c r="F108" s="14" t="s">
        <v>290</v>
      </c>
      <c r="G108" s="1"/>
      <c r="H108" s="14">
        <v>1</v>
      </c>
      <c r="I108" s="5"/>
      <c r="J108" s="1" t="s">
        <v>31</v>
      </c>
      <c r="K108" s="5"/>
      <c r="L108" s="6"/>
      <c r="M108" s="5"/>
      <c r="N108" s="15">
        <v>44964</v>
      </c>
      <c r="O108" s="8">
        <v>0</v>
      </c>
      <c r="P108" s="9">
        <v>44964</v>
      </c>
      <c r="Q108" s="8">
        <v>0</v>
      </c>
      <c r="R108" s="9">
        <v>44964</v>
      </c>
      <c r="S108" s="8">
        <v>0</v>
      </c>
      <c r="T108" s="9">
        <v>44964</v>
      </c>
      <c r="U108" s="8">
        <v>0</v>
      </c>
      <c r="V108" s="9">
        <v>44964</v>
      </c>
      <c r="W108" s="8">
        <v>0</v>
      </c>
      <c r="X108" s="9">
        <v>44964</v>
      </c>
      <c r="Y108" s="8">
        <v>0</v>
      </c>
      <c r="Z108" s="9">
        <v>44964</v>
      </c>
      <c r="AA108" s="8">
        <v>0</v>
      </c>
      <c r="AB108" s="9">
        <v>44964</v>
      </c>
      <c r="AC108" s="8">
        <v>0</v>
      </c>
      <c r="AD108" s="8">
        <v>0</v>
      </c>
      <c r="AE108" s="8">
        <v>0</v>
      </c>
      <c r="AF108" s="9">
        <v>44964</v>
      </c>
      <c r="AG108" s="10" t="s">
        <v>189</v>
      </c>
      <c r="AH108" s="9">
        <v>44964</v>
      </c>
      <c r="AI108" s="10" t="s">
        <v>189</v>
      </c>
      <c r="AJ108" s="9">
        <v>44964</v>
      </c>
      <c r="AK108" s="5"/>
    </row>
    <row r="109" spans="1:37" ht="27" customHeight="1">
      <c r="A109" s="1">
        <v>106</v>
      </c>
      <c r="B109" s="5"/>
      <c r="C109" s="5"/>
      <c r="D109" s="5"/>
      <c r="E109" s="13" t="s">
        <v>364</v>
      </c>
      <c r="F109" s="14" t="s">
        <v>211</v>
      </c>
      <c r="G109" s="1"/>
      <c r="H109" s="14">
        <v>1</v>
      </c>
      <c r="I109" s="5"/>
      <c r="J109" s="1" t="s">
        <v>30</v>
      </c>
      <c r="K109" s="5"/>
      <c r="L109" s="6"/>
      <c r="M109" s="5"/>
      <c r="N109" s="15">
        <v>44964</v>
      </c>
      <c r="O109" s="8">
        <v>0</v>
      </c>
      <c r="P109" s="9">
        <v>44964</v>
      </c>
      <c r="Q109" s="8">
        <v>0</v>
      </c>
      <c r="R109" s="9">
        <v>44964</v>
      </c>
      <c r="S109" s="8">
        <v>0</v>
      </c>
      <c r="T109" s="9">
        <v>44964</v>
      </c>
      <c r="U109" s="8">
        <v>0</v>
      </c>
      <c r="V109" s="9">
        <v>44964</v>
      </c>
      <c r="W109" s="8">
        <v>0</v>
      </c>
      <c r="X109" s="9">
        <v>44964</v>
      </c>
      <c r="Y109" s="8">
        <v>0</v>
      </c>
      <c r="Z109" s="9">
        <v>44964</v>
      </c>
      <c r="AA109" s="8">
        <v>0</v>
      </c>
      <c r="AB109" s="9">
        <v>44964</v>
      </c>
      <c r="AC109" s="8">
        <v>0</v>
      </c>
      <c r="AD109" s="8">
        <v>0</v>
      </c>
      <c r="AE109" s="8">
        <v>0</v>
      </c>
      <c r="AF109" s="9">
        <v>44964</v>
      </c>
      <c r="AG109" s="10" t="s">
        <v>189</v>
      </c>
      <c r="AH109" s="9">
        <v>44964</v>
      </c>
      <c r="AI109" s="10" t="s">
        <v>189</v>
      </c>
      <c r="AJ109" s="9">
        <v>44964</v>
      </c>
      <c r="AK109" s="5"/>
    </row>
    <row r="110" spans="1:37" ht="27" customHeight="1">
      <c r="A110" s="1">
        <v>107</v>
      </c>
      <c r="B110" s="5"/>
      <c r="C110" s="5"/>
      <c r="D110" s="5"/>
      <c r="E110" s="13"/>
      <c r="F110" s="14" t="s">
        <v>208</v>
      </c>
      <c r="G110" s="1"/>
      <c r="H110" s="14">
        <v>1</v>
      </c>
      <c r="I110" s="5"/>
      <c r="J110" s="1"/>
      <c r="K110" s="5"/>
      <c r="L110" s="6"/>
      <c r="M110" s="5"/>
      <c r="N110" s="15">
        <v>44964</v>
      </c>
      <c r="O110" s="8">
        <v>0</v>
      </c>
      <c r="P110" s="9">
        <v>44964</v>
      </c>
      <c r="Q110" s="8">
        <v>0</v>
      </c>
      <c r="R110" s="9">
        <v>44964</v>
      </c>
      <c r="S110" s="8">
        <v>0</v>
      </c>
      <c r="T110" s="9">
        <v>44964</v>
      </c>
      <c r="U110" s="8">
        <v>0</v>
      </c>
      <c r="V110" s="9">
        <v>44964</v>
      </c>
      <c r="W110" s="8">
        <v>0</v>
      </c>
      <c r="X110" s="9">
        <v>44964</v>
      </c>
      <c r="Y110" s="8">
        <v>0</v>
      </c>
      <c r="Z110" s="9">
        <v>44964</v>
      </c>
      <c r="AA110" s="8">
        <v>0</v>
      </c>
      <c r="AB110" s="9">
        <v>44964</v>
      </c>
      <c r="AC110" s="8">
        <v>0</v>
      </c>
      <c r="AD110" s="8">
        <v>0</v>
      </c>
      <c r="AE110" s="8">
        <v>0</v>
      </c>
      <c r="AF110" s="9">
        <v>44964</v>
      </c>
      <c r="AG110" s="10" t="s">
        <v>189</v>
      </c>
      <c r="AH110" s="9">
        <v>44964</v>
      </c>
      <c r="AI110" s="10" t="s">
        <v>189</v>
      </c>
      <c r="AJ110" s="9">
        <v>44964</v>
      </c>
      <c r="AK110" s="5"/>
    </row>
    <row r="111" spans="1:37" ht="27" customHeight="1">
      <c r="A111" s="1">
        <v>108</v>
      </c>
      <c r="B111" s="5"/>
      <c r="C111" s="5"/>
      <c r="D111" s="5"/>
      <c r="E111" s="13" t="s">
        <v>365</v>
      </c>
      <c r="F111" s="14" t="s">
        <v>292</v>
      </c>
      <c r="G111" s="1"/>
      <c r="H111" s="14">
        <v>1</v>
      </c>
      <c r="I111" s="5"/>
      <c r="J111" s="1"/>
      <c r="K111" s="5"/>
      <c r="L111" s="6"/>
      <c r="M111" s="5"/>
      <c r="N111" s="15">
        <v>44964</v>
      </c>
      <c r="O111" s="8">
        <v>0</v>
      </c>
      <c r="P111" s="9">
        <v>44964</v>
      </c>
      <c r="Q111" s="8">
        <v>0</v>
      </c>
      <c r="R111" s="9">
        <v>44964</v>
      </c>
      <c r="S111" s="8">
        <v>0</v>
      </c>
      <c r="T111" s="9">
        <v>44964</v>
      </c>
      <c r="U111" s="8">
        <v>0</v>
      </c>
      <c r="V111" s="9">
        <v>44964</v>
      </c>
      <c r="W111" s="8">
        <v>0</v>
      </c>
      <c r="X111" s="9">
        <v>44964</v>
      </c>
      <c r="Y111" s="8">
        <v>0</v>
      </c>
      <c r="Z111" s="9">
        <v>44964</v>
      </c>
      <c r="AA111" s="8">
        <v>0</v>
      </c>
      <c r="AB111" s="9">
        <v>44964</v>
      </c>
      <c r="AC111" s="8">
        <v>0</v>
      </c>
      <c r="AD111" s="8">
        <v>0</v>
      </c>
      <c r="AE111" s="8">
        <v>0</v>
      </c>
      <c r="AF111" s="9">
        <v>44964</v>
      </c>
      <c r="AG111" s="10" t="s">
        <v>189</v>
      </c>
      <c r="AH111" s="9">
        <v>44964</v>
      </c>
      <c r="AI111" s="10" t="s">
        <v>189</v>
      </c>
      <c r="AJ111" s="9">
        <v>44964</v>
      </c>
      <c r="AK111" s="5"/>
    </row>
    <row r="112" spans="1:37" ht="27" customHeight="1">
      <c r="A112" s="1">
        <v>109</v>
      </c>
      <c r="B112" s="5"/>
      <c r="C112" s="5"/>
      <c r="D112" s="5"/>
      <c r="E112" s="13" t="s">
        <v>366</v>
      </c>
      <c r="F112" s="14" t="s">
        <v>290</v>
      </c>
      <c r="G112" s="1"/>
      <c r="H112" s="14">
        <v>1</v>
      </c>
      <c r="I112" s="5"/>
      <c r="J112" s="1" t="s">
        <v>31</v>
      </c>
      <c r="K112" s="5"/>
      <c r="L112" s="6"/>
      <c r="M112" s="5"/>
      <c r="N112" s="15">
        <v>44964</v>
      </c>
      <c r="O112" s="8">
        <v>0</v>
      </c>
      <c r="P112" s="9">
        <v>44964</v>
      </c>
      <c r="Q112" s="8">
        <v>0</v>
      </c>
      <c r="R112" s="9">
        <v>44964</v>
      </c>
      <c r="S112" s="8">
        <v>0</v>
      </c>
      <c r="T112" s="9">
        <v>44964</v>
      </c>
      <c r="U112" s="8">
        <v>0</v>
      </c>
      <c r="V112" s="9">
        <v>44964</v>
      </c>
      <c r="W112" s="8">
        <v>0</v>
      </c>
      <c r="X112" s="9">
        <v>44964</v>
      </c>
      <c r="Y112" s="8">
        <v>0</v>
      </c>
      <c r="Z112" s="9">
        <v>44964</v>
      </c>
      <c r="AA112" s="8">
        <v>0</v>
      </c>
      <c r="AB112" s="9">
        <v>44964</v>
      </c>
      <c r="AC112" s="8">
        <v>0</v>
      </c>
      <c r="AD112" s="8">
        <v>0</v>
      </c>
      <c r="AE112" s="8">
        <v>0</v>
      </c>
      <c r="AF112" s="9">
        <v>44964</v>
      </c>
      <c r="AG112" s="10" t="s">
        <v>189</v>
      </c>
      <c r="AH112" s="9">
        <v>44964</v>
      </c>
      <c r="AI112" s="10" t="s">
        <v>189</v>
      </c>
      <c r="AJ112" s="9">
        <v>44964</v>
      </c>
      <c r="AK112" s="5"/>
    </row>
    <row r="113" spans="1:37" ht="27" customHeight="1">
      <c r="A113" s="1">
        <v>110</v>
      </c>
      <c r="B113" s="5"/>
      <c r="C113" s="5"/>
      <c r="D113" s="5"/>
      <c r="E113" s="13"/>
      <c r="F113" s="14" t="s">
        <v>367</v>
      </c>
      <c r="G113" s="1"/>
      <c r="H113" s="14">
        <v>6</v>
      </c>
      <c r="I113" s="5"/>
      <c r="J113" s="1"/>
      <c r="K113" s="5"/>
      <c r="L113" s="6"/>
      <c r="M113" s="5"/>
      <c r="N113" s="15">
        <v>44964</v>
      </c>
      <c r="O113" s="8">
        <v>0</v>
      </c>
      <c r="P113" s="9">
        <v>44964</v>
      </c>
      <c r="Q113" s="8">
        <v>0</v>
      </c>
      <c r="R113" s="9">
        <v>44964</v>
      </c>
      <c r="S113" s="8">
        <v>0</v>
      </c>
      <c r="T113" s="9">
        <v>44964</v>
      </c>
      <c r="U113" s="8">
        <v>0</v>
      </c>
      <c r="V113" s="9">
        <v>44964</v>
      </c>
      <c r="W113" s="8">
        <v>0</v>
      </c>
      <c r="X113" s="9">
        <v>44964</v>
      </c>
      <c r="Y113" s="8">
        <v>0</v>
      </c>
      <c r="Z113" s="9">
        <v>44964</v>
      </c>
      <c r="AA113" s="8">
        <v>0</v>
      </c>
      <c r="AB113" s="9">
        <v>44964</v>
      </c>
      <c r="AC113" s="8">
        <v>0</v>
      </c>
      <c r="AD113" s="8">
        <v>0</v>
      </c>
      <c r="AE113" s="8">
        <v>0</v>
      </c>
      <c r="AF113" s="9">
        <v>44964</v>
      </c>
      <c r="AG113" s="10" t="s">
        <v>189</v>
      </c>
      <c r="AH113" s="9">
        <v>44964</v>
      </c>
      <c r="AI113" s="10" t="s">
        <v>189</v>
      </c>
      <c r="AJ113" s="9">
        <v>44964</v>
      </c>
      <c r="AK113" s="5"/>
    </row>
    <row r="114" spans="1:37" ht="27" customHeight="1">
      <c r="A114" s="1">
        <v>111</v>
      </c>
      <c r="B114" s="5"/>
      <c r="C114" s="5"/>
      <c r="D114" s="5"/>
      <c r="E114" s="13"/>
      <c r="F114" s="14" t="s">
        <v>235</v>
      </c>
      <c r="G114" s="1"/>
      <c r="H114" s="14">
        <v>2</v>
      </c>
      <c r="I114" s="5"/>
      <c r="J114" s="1"/>
      <c r="K114" s="5"/>
      <c r="L114" s="6"/>
      <c r="M114" s="5"/>
      <c r="N114" s="15">
        <v>44964</v>
      </c>
      <c r="O114" s="8">
        <v>0</v>
      </c>
      <c r="P114" s="9">
        <v>44964</v>
      </c>
      <c r="Q114" s="8">
        <v>0</v>
      </c>
      <c r="R114" s="9">
        <v>44964</v>
      </c>
      <c r="S114" s="8">
        <v>0</v>
      </c>
      <c r="T114" s="9">
        <v>44964</v>
      </c>
      <c r="U114" s="8">
        <v>0</v>
      </c>
      <c r="V114" s="9">
        <v>44964</v>
      </c>
      <c r="W114" s="8">
        <v>0</v>
      </c>
      <c r="X114" s="9">
        <v>44964</v>
      </c>
      <c r="Y114" s="8">
        <v>0</v>
      </c>
      <c r="Z114" s="9">
        <v>44964</v>
      </c>
      <c r="AA114" s="8">
        <v>0</v>
      </c>
      <c r="AB114" s="9">
        <v>44964</v>
      </c>
      <c r="AC114" s="8">
        <v>0</v>
      </c>
      <c r="AD114" s="8">
        <v>0</v>
      </c>
      <c r="AE114" s="8">
        <v>0</v>
      </c>
      <c r="AF114" s="9">
        <v>44964</v>
      </c>
      <c r="AG114" s="10" t="s">
        <v>189</v>
      </c>
      <c r="AH114" s="9">
        <v>44964</v>
      </c>
      <c r="AI114" s="10" t="s">
        <v>189</v>
      </c>
      <c r="AJ114" s="9">
        <v>44964</v>
      </c>
      <c r="AK114" s="5"/>
    </row>
    <row r="115" spans="1:37" ht="27" customHeight="1">
      <c r="A115" s="1">
        <v>112</v>
      </c>
      <c r="B115" s="5"/>
      <c r="C115" s="5"/>
      <c r="D115" s="5"/>
      <c r="E115" s="13" t="s">
        <v>368</v>
      </c>
      <c r="F115" s="14" t="s">
        <v>237</v>
      </c>
      <c r="G115" s="1"/>
      <c r="H115" s="14">
        <v>6</v>
      </c>
      <c r="I115" s="5"/>
      <c r="J115" s="1"/>
      <c r="K115" s="5"/>
      <c r="L115" s="6"/>
      <c r="M115" s="5"/>
      <c r="N115" s="15">
        <v>44964</v>
      </c>
      <c r="O115" s="8">
        <v>0</v>
      </c>
      <c r="P115" s="9">
        <v>44964</v>
      </c>
      <c r="Q115" s="8">
        <v>0</v>
      </c>
      <c r="R115" s="9">
        <v>44964</v>
      </c>
      <c r="S115" s="8">
        <v>0</v>
      </c>
      <c r="T115" s="9">
        <v>44964</v>
      </c>
      <c r="U115" s="8">
        <v>0</v>
      </c>
      <c r="V115" s="9">
        <v>44964</v>
      </c>
      <c r="W115" s="8">
        <v>0</v>
      </c>
      <c r="X115" s="9">
        <v>44964</v>
      </c>
      <c r="Y115" s="8">
        <v>0</v>
      </c>
      <c r="Z115" s="9">
        <v>44964</v>
      </c>
      <c r="AA115" s="8">
        <v>0</v>
      </c>
      <c r="AB115" s="9">
        <v>44964</v>
      </c>
      <c r="AC115" s="8">
        <v>0</v>
      </c>
      <c r="AD115" s="8">
        <v>0</v>
      </c>
      <c r="AE115" s="8">
        <v>0</v>
      </c>
      <c r="AF115" s="9">
        <v>44964</v>
      </c>
      <c r="AG115" s="10" t="s">
        <v>189</v>
      </c>
      <c r="AH115" s="9">
        <v>44964</v>
      </c>
      <c r="AI115" s="10" t="s">
        <v>189</v>
      </c>
      <c r="AJ115" s="9">
        <v>44964</v>
      </c>
      <c r="AK115" s="5"/>
    </row>
    <row r="116" spans="1:37" ht="27" customHeight="1">
      <c r="A116" s="1">
        <v>113</v>
      </c>
      <c r="B116" s="5"/>
      <c r="C116" s="5"/>
      <c r="D116" s="5"/>
      <c r="E116" s="13"/>
      <c r="F116" s="14" t="s">
        <v>208</v>
      </c>
      <c r="G116" s="1"/>
      <c r="H116" s="14">
        <v>1</v>
      </c>
      <c r="I116" s="5"/>
      <c r="J116" s="1"/>
      <c r="K116" s="5"/>
      <c r="L116" s="6"/>
      <c r="M116" s="5"/>
      <c r="N116" s="15">
        <v>44964</v>
      </c>
      <c r="O116" s="8">
        <v>0</v>
      </c>
      <c r="P116" s="9">
        <v>44964</v>
      </c>
      <c r="Q116" s="8">
        <v>0</v>
      </c>
      <c r="R116" s="9">
        <v>44964</v>
      </c>
      <c r="S116" s="8">
        <v>0</v>
      </c>
      <c r="T116" s="9">
        <v>44964</v>
      </c>
      <c r="U116" s="8">
        <v>0</v>
      </c>
      <c r="V116" s="9">
        <v>44964</v>
      </c>
      <c r="W116" s="8">
        <v>0</v>
      </c>
      <c r="X116" s="9">
        <v>44964</v>
      </c>
      <c r="Y116" s="8">
        <v>0</v>
      </c>
      <c r="Z116" s="9">
        <v>44964</v>
      </c>
      <c r="AA116" s="8">
        <v>0</v>
      </c>
      <c r="AB116" s="9">
        <v>44964</v>
      </c>
      <c r="AC116" s="8">
        <v>0</v>
      </c>
      <c r="AD116" s="8">
        <v>0</v>
      </c>
      <c r="AE116" s="8">
        <v>0</v>
      </c>
      <c r="AF116" s="9">
        <v>44964</v>
      </c>
      <c r="AG116" s="10" t="s">
        <v>189</v>
      </c>
      <c r="AH116" s="9">
        <v>44964</v>
      </c>
      <c r="AI116" s="10" t="s">
        <v>189</v>
      </c>
      <c r="AJ116" s="9">
        <v>44964</v>
      </c>
      <c r="AK116" s="5"/>
    </row>
    <row r="117" spans="1:37" ht="27" customHeight="1">
      <c r="A117" s="1">
        <v>114</v>
      </c>
      <c r="B117" s="5"/>
      <c r="C117" s="5"/>
      <c r="D117" s="5"/>
      <c r="E117" s="13" t="s">
        <v>369</v>
      </c>
      <c r="F117" s="14" t="s">
        <v>292</v>
      </c>
      <c r="G117" s="1"/>
      <c r="H117" s="14">
        <v>1</v>
      </c>
      <c r="I117" s="5"/>
      <c r="J117" s="1"/>
      <c r="K117" s="5"/>
      <c r="L117" s="6"/>
      <c r="M117" s="5"/>
      <c r="N117" s="15">
        <v>44964</v>
      </c>
      <c r="O117" s="8">
        <v>0</v>
      </c>
      <c r="P117" s="9">
        <v>44964</v>
      </c>
      <c r="Q117" s="8">
        <v>0</v>
      </c>
      <c r="R117" s="9">
        <v>44964</v>
      </c>
      <c r="S117" s="8">
        <v>0</v>
      </c>
      <c r="T117" s="9">
        <v>44964</v>
      </c>
      <c r="U117" s="8">
        <v>0</v>
      </c>
      <c r="V117" s="9">
        <v>44964</v>
      </c>
      <c r="W117" s="8">
        <v>0</v>
      </c>
      <c r="X117" s="9">
        <v>44964</v>
      </c>
      <c r="Y117" s="8">
        <v>0</v>
      </c>
      <c r="Z117" s="9">
        <v>44964</v>
      </c>
      <c r="AA117" s="8">
        <v>0</v>
      </c>
      <c r="AB117" s="9">
        <v>44964</v>
      </c>
      <c r="AC117" s="8">
        <v>0</v>
      </c>
      <c r="AD117" s="8">
        <v>0</v>
      </c>
      <c r="AE117" s="8">
        <v>0</v>
      </c>
      <c r="AF117" s="9">
        <v>44964</v>
      </c>
      <c r="AG117" s="10" t="s">
        <v>189</v>
      </c>
      <c r="AH117" s="9">
        <v>44964</v>
      </c>
      <c r="AI117" s="10" t="s">
        <v>189</v>
      </c>
      <c r="AJ117" s="9">
        <v>44964</v>
      </c>
      <c r="AK117" s="5"/>
    </row>
    <row r="118" spans="1:37" ht="27" customHeight="1">
      <c r="A118" s="1">
        <v>115</v>
      </c>
      <c r="B118" s="5"/>
      <c r="C118" s="5"/>
      <c r="D118" s="5"/>
      <c r="E118" s="13" t="s">
        <v>370</v>
      </c>
      <c r="F118" s="14" t="s">
        <v>287</v>
      </c>
      <c r="G118" s="1"/>
      <c r="H118" s="14">
        <v>1</v>
      </c>
      <c r="I118" s="5"/>
      <c r="J118" s="1" t="s">
        <v>198</v>
      </c>
      <c r="K118" s="5"/>
      <c r="L118" s="6"/>
      <c r="M118" s="5"/>
      <c r="N118" s="15">
        <v>44999</v>
      </c>
      <c r="O118" s="8">
        <v>1</v>
      </c>
      <c r="P118" s="9">
        <v>44964</v>
      </c>
      <c r="Q118" s="8">
        <v>0</v>
      </c>
      <c r="R118" s="9">
        <v>44964</v>
      </c>
      <c r="S118" s="8">
        <v>0</v>
      </c>
      <c r="T118" s="9">
        <v>44964</v>
      </c>
      <c r="U118" s="8">
        <v>0</v>
      </c>
      <c r="V118" s="9">
        <v>44964</v>
      </c>
      <c r="W118" s="8">
        <v>0</v>
      </c>
      <c r="X118" s="9">
        <v>44964</v>
      </c>
      <c r="Y118" s="8">
        <v>0</v>
      </c>
      <c r="Z118" s="9">
        <v>44964</v>
      </c>
      <c r="AA118" s="8">
        <v>0</v>
      </c>
      <c r="AB118" s="9">
        <v>44964</v>
      </c>
      <c r="AC118" s="8">
        <v>0</v>
      </c>
      <c r="AD118" s="8">
        <v>0</v>
      </c>
      <c r="AE118" s="8">
        <v>0</v>
      </c>
      <c r="AF118" s="9">
        <v>44964</v>
      </c>
      <c r="AG118" s="10" t="s">
        <v>189</v>
      </c>
      <c r="AH118" s="9">
        <v>44964</v>
      </c>
      <c r="AI118" s="10" t="s">
        <v>189</v>
      </c>
      <c r="AJ118" s="9">
        <v>44964</v>
      </c>
      <c r="AK118" s="5"/>
    </row>
    <row r="119" spans="1:37" ht="27" customHeight="1">
      <c r="A119" s="1">
        <v>116</v>
      </c>
      <c r="B119" s="5"/>
      <c r="C119" s="5"/>
      <c r="D119" s="5"/>
      <c r="E119" s="13"/>
      <c r="F119" s="14" t="s">
        <v>301</v>
      </c>
      <c r="G119" s="1"/>
      <c r="H119" s="14">
        <v>1</v>
      </c>
      <c r="I119" s="5"/>
      <c r="J119" s="1"/>
      <c r="K119" s="5"/>
      <c r="L119" s="6"/>
      <c r="M119" s="5"/>
      <c r="N119" s="15">
        <v>44964</v>
      </c>
      <c r="O119" s="8">
        <v>0</v>
      </c>
      <c r="P119" s="9">
        <v>44964</v>
      </c>
      <c r="Q119" s="8">
        <v>0</v>
      </c>
      <c r="R119" s="9">
        <v>44964</v>
      </c>
      <c r="S119" s="8">
        <v>0</v>
      </c>
      <c r="T119" s="9">
        <v>44964</v>
      </c>
      <c r="U119" s="8">
        <v>0</v>
      </c>
      <c r="V119" s="9">
        <v>44964</v>
      </c>
      <c r="W119" s="8">
        <v>0</v>
      </c>
      <c r="X119" s="9">
        <v>44964</v>
      </c>
      <c r="Y119" s="8">
        <v>0</v>
      </c>
      <c r="Z119" s="9">
        <v>44964</v>
      </c>
      <c r="AA119" s="8">
        <v>0</v>
      </c>
      <c r="AB119" s="9">
        <v>44964</v>
      </c>
      <c r="AC119" s="8">
        <v>0</v>
      </c>
      <c r="AD119" s="8">
        <v>0</v>
      </c>
      <c r="AE119" s="8">
        <v>0</v>
      </c>
      <c r="AF119" s="9">
        <v>44964</v>
      </c>
      <c r="AG119" s="10" t="s">
        <v>189</v>
      </c>
      <c r="AH119" s="9">
        <v>44964</v>
      </c>
      <c r="AI119" s="10" t="s">
        <v>189</v>
      </c>
      <c r="AJ119" s="9">
        <v>44964</v>
      </c>
      <c r="AK119" s="5"/>
    </row>
    <row r="120" spans="1:37" ht="27" customHeight="1">
      <c r="A120" s="1">
        <v>117</v>
      </c>
      <c r="B120" s="5"/>
      <c r="C120" s="5"/>
      <c r="D120" s="5"/>
      <c r="E120" s="13" t="s">
        <v>371</v>
      </c>
      <c r="F120" s="14" t="s">
        <v>290</v>
      </c>
      <c r="G120" s="1"/>
      <c r="H120" s="14">
        <v>1</v>
      </c>
      <c r="I120" s="5"/>
      <c r="J120" s="1" t="s">
        <v>31</v>
      </c>
      <c r="K120" s="5"/>
      <c r="L120" s="6"/>
      <c r="M120" s="5"/>
      <c r="N120" s="15">
        <v>44964</v>
      </c>
      <c r="O120" s="8">
        <v>0</v>
      </c>
      <c r="P120" s="9">
        <v>44964</v>
      </c>
      <c r="Q120" s="8">
        <v>0</v>
      </c>
      <c r="R120" s="9">
        <v>44964</v>
      </c>
      <c r="S120" s="8">
        <v>0</v>
      </c>
      <c r="T120" s="9">
        <v>44964</v>
      </c>
      <c r="U120" s="8">
        <v>0</v>
      </c>
      <c r="V120" s="9">
        <v>44964</v>
      </c>
      <c r="W120" s="8">
        <v>0</v>
      </c>
      <c r="X120" s="9">
        <v>44964</v>
      </c>
      <c r="Y120" s="8">
        <v>0</v>
      </c>
      <c r="Z120" s="9">
        <v>44964</v>
      </c>
      <c r="AA120" s="8">
        <v>0</v>
      </c>
      <c r="AB120" s="9">
        <v>44964</v>
      </c>
      <c r="AC120" s="8">
        <v>0</v>
      </c>
      <c r="AD120" s="8">
        <v>0</v>
      </c>
      <c r="AE120" s="8">
        <v>0</v>
      </c>
      <c r="AF120" s="9">
        <v>44964</v>
      </c>
      <c r="AG120" s="10" t="s">
        <v>189</v>
      </c>
      <c r="AH120" s="9">
        <v>44964</v>
      </c>
      <c r="AI120" s="10" t="s">
        <v>189</v>
      </c>
      <c r="AJ120" s="9">
        <v>44964</v>
      </c>
      <c r="AK120" s="5"/>
    </row>
    <row r="121" spans="1:37" ht="27" customHeight="1">
      <c r="A121" s="1">
        <v>118</v>
      </c>
      <c r="B121" s="5"/>
      <c r="C121" s="5"/>
      <c r="D121" s="5"/>
      <c r="E121" s="13"/>
      <c r="F121" s="14" t="s">
        <v>208</v>
      </c>
      <c r="G121" s="1"/>
      <c r="H121" s="14">
        <v>1</v>
      </c>
      <c r="I121" s="5"/>
      <c r="J121" s="1"/>
      <c r="K121" s="5"/>
      <c r="L121" s="6"/>
      <c r="M121" s="5"/>
      <c r="N121" s="15">
        <v>44964</v>
      </c>
      <c r="O121" s="8">
        <v>0</v>
      </c>
      <c r="P121" s="9">
        <v>44964</v>
      </c>
      <c r="Q121" s="8">
        <v>0</v>
      </c>
      <c r="R121" s="9">
        <v>44964</v>
      </c>
      <c r="S121" s="8">
        <v>0</v>
      </c>
      <c r="T121" s="9">
        <v>44964</v>
      </c>
      <c r="U121" s="8">
        <v>0</v>
      </c>
      <c r="V121" s="9">
        <v>44964</v>
      </c>
      <c r="W121" s="8">
        <v>0</v>
      </c>
      <c r="X121" s="9">
        <v>44964</v>
      </c>
      <c r="Y121" s="8">
        <v>0</v>
      </c>
      <c r="Z121" s="9">
        <v>44964</v>
      </c>
      <c r="AA121" s="8">
        <v>0</v>
      </c>
      <c r="AB121" s="9">
        <v>44964</v>
      </c>
      <c r="AC121" s="8">
        <v>0</v>
      </c>
      <c r="AD121" s="8">
        <v>0</v>
      </c>
      <c r="AE121" s="8">
        <v>0</v>
      </c>
      <c r="AF121" s="9">
        <v>44964</v>
      </c>
      <c r="AG121" s="10" t="s">
        <v>189</v>
      </c>
      <c r="AH121" s="9">
        <v>44964</v>
      </c>
      <c r="AI121" s="10" t="s">
        <v>189</v>
      </c>
      <c r="AJ121" s="9">
        <v>44964</v>
      </c>
      <c r="AK121" s="5"/>
    </row>
    <row r="122" spans="1:37" ht="27" customHeight="1">
      <c r="A122" s="1">
        <v>119</v>
      </c>
      <c r="B122" s="5"/>
      <c r="C122" s="5"/>
      <c r="D122" s="5"/>
      <c r="E122" s="13" t="s">
        <v>372</v>
      </c>
      <c r="F122" s="14" t="s">
        <v>292</v>
      </c>
      <c r="G122" s="1"/>
      <c r="H122" s="14">
        <v>1</v>
      </c>
      <c r="I122" s="5"/>
      <c r="J122" s="1"/>
      <c r="K122" s="5"/>
      <c r="L122" s="6"/>
      <c r="M122" s="5"/>
      <c r="N122" s="15">
        <v>44964</v>
      </c>
      <c r="O122" s="8">
        <v>0</v>
      </c>
      <c r="P122" s="9">
        <v>44964</v>
      </c>
      <c r="Q122" s="8">
        <v>0</v>
      </c>
      <c r="R122" s="9">
        <v>44964</v>
      </c>
      <c r="S122" s="8">
        <v>0</v>
      </c>
      <c r="T122" s="9">
        <v>44964</v>
      </c>
      <c r="U122" s="8">
        <v>0</v>
      </c>
      <c r="V122" s="9">
        <v>44964</v>
      </c>
      <c r="W122" s="8">
        <v>0</v>
      </c>
      <c r="X122" s="9">
        <v>44964</v>
      </c>
      <c r="Y122" s="8">
        <v>0</v>
      </c>
      <c r="Z122" s="9">
        <v>44964</v>
      </c>
      <c r="AA122" s="8">
        <v>0</v>
      </c>
      <c r="AB122" s="9">
        <v>44964</v>
      </c>
      <c r="AC122" s="8">
        <v>0</v>
      </c>
      <c r="AD122" s="8">
        <v>0</v>
      </c>
      <c r="AE122" s="8">
        <v>0</v>
      </c>
      <c r="AF122" s="9">
        <v>44964</v>
      </c>
      <c r="AG122" s="10" t="s">
        <v>189</v>
      </c>
      <c r="AH122" s="9">
        <v>44964</v>
      </c>
      <c r="AI122" s="10" t="s">
        <v>189</v>
      </c>
      <c r="AJ122" s="9">
        <v>44964</v>
      </c>
      <c r="AK122" s="5"/>
    </row>
    <row r="123" spans="1:37" ht="27" customHeight="1">
      <c r="A123" s="1">
        <v>120</v>
      </c>
      <c r="B123" s="5"/>
      <c r="C123" s="5"/>
      <c r="D123" s="5"/>
      <c r="E123" s="13" t="s">
        <v>373</v>
      </c>
      <c r="F123" s="14" t="s">
        <v>287</v>
      </c>
      <c r="G123" s="1"/>
      <c r="H123" s="14">
        <v>1</v>
      </c>
      <c r="I123" s="5"/>
      <c r="J123" s="1" t="s">
        <v>198</v>
      </c>
      <c r="K123" s="5"/>
      <c r="L123" s="6"/>
      <c r="M123" s="5"/>
      <c r="N123" s="15">
        <v>44999</v>
      </c>
      <c r="O123" s="8">
        <v>1</v>
      </c>
      <c r="P123" s="9">
        <v>44964</v>
      </c>
      <c r="Q123" s="8">
        <v>0</v>
      </c>
      <c r="R123" s="9">
        <v>44964</v>
      </c>
      <c r="S123" s="8">
        <v>0</v>
      </c>
      <c r="T123" s="9">
        <v>44964</v>
      </c>
      <c r="U123" s="8">
        <v>0</v>
      </c>
      <c r="V123" s="9">
        <v>44964</v>
      </c>
      <c r="W123" s="8">
        <v>0</v>
      </c>
      <c r="X123" s="9">
        <v>44964</v>
      </c>
      <c r="Y123" s="8">
        <v>0</v>
      </c>
      <c r="Z123" s="9">
        <v>44964</v>
      </c>
      <c r="AA123" s="8">
        <v>0</v>
      </c>
      <c r="AB123" s="9">
        <v>44964</v>
      </c>
      <c r="AC123" s="8">
        <v>0</v>
      </c>
      <c r="AD123" s="8">
        <v>0</v>
      </c>
      <c r="AE123" s="8">
        <v>0</v>
      </c>
      <c r="AF123" s="9">
        <v>44964</v>
      </c>
      <c r="AG123" s="10" t="s">
        <v>189</v>
      </c>
      <c r="AH123" s="9">
        <v>44964</v>
      </c>
      <c r="AI123" s="10" t="s">
        <v>189</v>
      </c>
      <c r="AJ123" s="9">
        <v>44964</v>
      </c>
      <c r="AK123" s="5"/>
    </row>
    <row r="124" spans="1:37" ht="27" customHeight="1">
      <c r="A124" s="1">
        <v>121</v>
      </c>
      <c r="B124" s="5"/>
      <c r="C124" s="5"/>
      <c r="D124" s="5"/>
      <c r="E124" s="13"/>
      <c r="F124" s="14" t="s">
        <v>301</v>
      </c>
      <c r="G124" s="1"/>
      <c r="H124" s="14">
        <v>1</v>
      </c>
      <c r="I124" s="5"/>
      <c r="J124" s="1"/>
      <c r="K124" s="5"/>
      <c r="L124" s="6"/>
      <c r="M124" s="5"/>
      <c r="N124" s="15">
        <v>44964</v>
      </c>
      <c r="O124" s="8">
        <v>0</v>
      </c>
      <c r="P124" s="9">
        <v>44964</v>
      </c>
      <c r="Q124" s="8">
        <v>0</v>
      </c>
      <c r="R124" s="9">
        <v>44964</v>
      </c>
      <c r="S124" s="8">
        <v>0</v>
      </c>
      <c r="T124" s="9">
        <v>44964</v>
      </c>
      <c r="U124" s="8">
        <v>0</v>
      </c>
      <c r="V124" s="9">
        <v>44964</v>
      </c>
      <c r="W124" s="8">
        <v>0</v>
      </c>
      <c r="X124" s="9">
        <v>44964</v>
      </c>
      <c r="Y124" s="8">
        <v>0</v>
      </c>
      <c r="Z124" s="9">
        <v>44964</v>
      </c>
      <c r="AA124" s="8">
        <v>0</v>
      </c>
      <c r="AB124" s="9">
        <v>44964</v>
      </c>
      <c r="AC124" s="8">
        <v>0</v>
      </c>
      <c r="AD124" s="8">
        <v>0</v>
      </c>
      <c r="AE124" s="8">
        <v>0</v>
      </c>
      <c r="AF124" s="9">
        <v>44964</v>
      </c>
      <c r="AG124" s="10" t="s">
        <v>189</v>
      </c>
      <c r="AH124" s="9">
        <v>44964</v>
      </c>
      <c r="AI124" s="10" t="s">
        <v>189</v>
      </c>
      <c r="AJ124" s="9">
        <v>44964</v>
      </c>
      <c r="AK124" s="5"/>
    </row>
    <row r="125" spans="1:37" ht="27" customHeight="1">
      <c r="A125" s="1">
        <v>122</v>
      </c>
      <c r="B125" s="5"/>
      <c r="C125" s="5"/>
      <c r="D125" s="5"/>
      <c r="E125" s="13"/>
      <c r="F125" s="14" t="s">
        <v>208</v>
      </c>
      <c r="G125" s="1"/>
      <c r="H125" s="14">
        <v>1</v>
      </c>
      <c r="I125" s="5"/>
      <c r="J125" s="1"/>
      <c r="K125" s="5"/>
      <c r="L125" s="6"/>
      <c r="M125" s="5"/>
      <c r="N125" s="15">
        <v>44964</v>
      </c>
      <c r="O125" s="8">
        <v>0</v>
      </c>
      <c r="P125" s="9">
        <v>44964</v>
      </c>
      <c r="Q125" s="8">
        <v>0</v>
      </c>
      <c r="R125" s="9">
        <v>44964</v>
      </c>
      <c r="S125" s="8">
        <v>0</v>
      </c>
      <c r="T125" s="9">
        <v>44964</v>
      </c>
      <c r="U125" s="8">
        <v>0</v>
      </c>
      <c r="V125" s="9">
        <v>44964</v>
      </c>
      <c r="W125" s="8">
        <v>0</v>
      </c>
      <c r="X125" s="9">
        <v>44964</v>
      </c>
      <c r="Y125" s="8">
        <v>0</v>
      </c>
      <c r="Z125" s="9">
        <v>44964</v>
      </c>
      <c r="AA125" s="8">
        <v>0</v>
      </c>
      <c r="AB125" s="9">
        <v>44964</v>
      </c>
      <c r="AC125" s="8">
        <v>0</v>
      </c>
      <c r="AD125" s="8">
        <v>0</v>
      </c>
      <c r="AE125" s="8">
        <v>0</v>
      </c>
      <c r="AF125" s="9">
        <v>44964</v>
      </c>
      <c r="AG125" s="10" t="s">
        <v>189</v>
      </c>
      <c r="AH125" s="9">
        <v>44964</v>
      </c>
      <c r="AI125" s="10" t="s">
        <v>189</v>
      </c>
      <c r="AJ125" s="9">
        <v>44964</v>
      </c>
      <c r="AK125" s="5"/>
    </row>
    <row r="126" spans="1:37" ht="27" customHeight="1">
      <c r="A126" s="1">
        <v>123</v>
      </c>
      <c r="B126" s="5"/>
      <c r="C126" s="5"/>
      <c r="D126" s="5"/>
      <c r="E126" s="13" t="s">
        <v>374</v>
      </c>
      <c r="F126" s="14" t="s">
        <v>290</v>
      </c>
      <c r="G126" s="1"/>
      <c r="H126" s="14">
        <v>1</v>
      </c>
      <c r="I126" s="5"/>
      <c r="J126" s="1" t="s">
        <v>31</v>
      </c>
      <c r="K126" s="5"/>
      <c r="L126" s="6"/>
      <c r="M126" s="5"/>
      <c r="N126" s="15">
        <v>44964</v>
      </c>
      <c r="O126" s="8">
        <v>0</v>
      </c>
      <c r="P126" s="9">
        <v>44964</v>
      </c>
      <c r="Q126" s="8">
        <v>0</v>
      </c>
      <c r="R126" s="9">
        <v>44964</v>
      </c>
      <c r="S126" s="8">
        <v>0</v>
      </c>
      <c r="T126" s="9">
        <v>44964</v>
      </c>
      <c r="U126" s="8">
        <v>0</v>
      </c>
      <c r="V126" s="9">
        <v>44964</v>
      </c>
      <c r="W126" s="8">
        <v>0</v>
      </c>
      <c r="X126" s="9">
        <v>44964</v>
      </c>
      <c r="Y126" s="8">
        <v>0</v>
      </c>
      <c r="Z126" s="9">
        <v>44964</v>
      </c>
      <c r="AA126" s="8">
        <v>0</v>
      </c>
      <c r="AB126" s="9">
        <v>44964</v>
      </c>
      <c r="AC126" s="8">
        <v>0</v>
      </c>
      <c r="AD126" s="8">
        <v>0</v>
      </c>
      <c r="AE126" s="8">
        <v>0</v>
      </c>
      <c r="AF126" s="9">
        <v>44964</v>
      </c>
      <c r="AG126" s="10" t="s">
        <v>189</v>
      </c>
      <c r="AH126" s="9">
        <v>44964</v>
      </c>
      <c r="AI126" s="10" t="s">
        <v>189</v>
      </c>
      <c r="AJ126" s="9">
        <v>44964</v>
      </c>
      <c r="AK126" s="5"/>
    </row>
    <row r="127" spans="1:37" ht="27" customHeight="1">
      <c r="A127" s="1">
        <v>124</v>
      </c>
      <c r="B127" s="5"/>
      <c r="C127" s="5"/>
      <c r="D127" s="5"/>
      <c r="E127" s="13"/>
      <c r="F127" s="14" t="s">
        <v>208</v>
      </c>
      <c r="G127" s="1"/>
      <c r="H127" s="14">
        <v>1</v>
      </c>
      <c r="I127" s="5"/>
      <c r="J127" s="1"/>
      <c r="K127" s="5"/>
      <c r="L127" s="6"/>
      <c r="M127" s="5"/>
      <c r="N127" s="15">
        <v>44964</v>
      </c>
      <c r="O127" s="8">
        <v>0</v>
      </c>
      <c r="P127" s="9">
        <v>44964</v>
      </c>
      <c r="Q127" s="8">
        <v>0</v>
      </c>
      <c r="R127" s="9">
        <v>44964</v>
      </c>
      <c r="S127" s="8">
        <v>0</v>
      </c>
      <c r="T127" s="9">
        <v>44964</v>
      </c>
      <c r="U127" s="8">
        <v>0</v>
      </c>
      <c r="V127" s="9">
        <v>44964</v>
      </c>
      <c r="W127" s="8">
        <v>0</v>
      </c>
      <c r="X127" s="9">
        <v>44964</v>
      </c>
      <c r="Y127" s="8">
        <v>0</v>
      </c>
      <c r="Z127" s="9">
        <v>44964</v>
      </c>
      <c r="AA127" s="8">
        <v>0</v>
      </c>
      <c r="AB127" s="9">
        <v>44964</v>
      </c>
      <c r="AC127" s="8">
        <v>0</v>
      </c>
      <c r="AD127" s="8">
        <v>0</v>
      </c>
      <c r="AE127" s="8">
        <v>0</v>
      </c>
      <c r="AF127" s="9">
        <v>44964</v>
      </c>
      <c r="AG127" s="10" t="s">
        <v>189</v>
      </c>
      <c r="AH127" s="9">
        <v>44964</v>
      </c>
      <c r="AI127" s="10" t="s">
        <v>189</v>
      </c>
      <c r="AJ127" s="9">
        <v>44964</v>
      </c>
      <c r="AK127" s="5"/>
    </row>
    <row r="128" spans="1:37" ht="27" customHeight="1">
      <c r="A128" s="1">
        <v>125</v>
      </c>
      <c r="B128" s="5"/>
      <c r="C128" s="5"/>
      <c r="D128" s="5"/>
      <c r="E128" s="13" t="s">
        <v>375</v>
      </c>
      <c r="F128" s="14" t="s">
        <v>292</v>
      </c>
      <c r="G128" s="1"/>
      <c r="H128" s="14">
        <v>1</v>
      </c>
      <c r="I128" s="5"/>
      <c r="J128" s="1"/>
      <c r="K128" s="5"/>
      <c r="L128" s="6"/>
      <c r="M128" s="5"/>
      <c r="N128" s="15">
        <v>44964</v>
      </c>
      <c r="O128" s="8">
        <v>0</v>
      </c>
      <c r="P128" s="9">
        <v>44964</v>
      </c>
      <c r="Q128" s="8">
        <v>0</v>
      </c>
      <c r="R128" s="9">
        <v>44964</v>
      </c>
      <c r="S128" s="8">
        <v>0</v>
      </c>
      <c r="T128" s="9">
        <v>44964</v>
      </c>
      <c r="U128" s="8">
        <v>0</v>
      </c>
      <c r="V128" s="9">
        <v>44964</v>
      </c>
      <c r="W128" s="8">
        <v>0</v>
      </c>
      <c r="X128" s="9">
        <v>44964</v>
      </c>
      <c r="Y128" s="8">
        <v>0</v>
      </c>
      <c r="Z128" s="9">
        <v>44964</v>
      </c>
      <c r="AA128" s="8">
        <v>0</v>
      </c>
      <c r="AB128" s="9">
        <v>44964</v>
      </c>
      <c r="AC128" s="8">
        <v>0</v>
      </c>
      <c r="AD128" s="8">
        <v>0</v>
      </c>
      <c r="AE128" s="8">
        <v>0</v>
      </c>
      <c r="AF128" s="9">
        <v>44964</v>
      </c>
      <c r="AG128" s="10" t="s">
        <v>189</v>
      </c>
      <c r="AH128" s="9">
        <v>44964</v>
      </c>
      <c r="AI128" s="10" t="s">
        <v>189</v>
      </c>
      <c r="AJ128" s="9">
        <v>44964</v>
      </c>
      <c r="AK128" s="5"/>
    </row>
    <row r="129" spans="1:37" ht="27" customHeight="1">
      <c r="A129" s="1">
        <v>126</v>
      </c>
      <c r="B129" s="5"/>
      <c r="C129" s="5"/>
      <c r="D129" s="5"/>
      <c r="E129" s="13" t="s">
        <v>376</v>
      </c>
      <c r="F129" s="14" t="s">
        <v>287</v>
      </c>
      <c r="G129" s="1"/>
      <c r="H129" s="14">
        <v>1</v>
      </c>
      <c r="I129" s="5"/>
      <c r="J129" s="1" t="s">
        <v>198</v>
      </c>
      <c r="K129" s="5"/>
      <c r="L129" s="6"/>
      <c r="M129" s="5"/>
      <c r="N129" s="15">
        <v>44999</v>
      </c>
      <c r="O129" s="8">
        <v>1</v>
      </c>
      <c r="P129" s="9">
        <v>44964</v>
      </c>
      <c r="Q129" s="8">
        <v>0</v>
      </c>
      <c r="R129" s="9">
        <v>44964</v>
      </c>
      <c r="S129" s="8">
        <v>0</v>
      </c>
      <c r="T129" s="9">
        <v>44964</v>
      </c>
      <c r="U129" s="8">
        <v>0</v>
      </c>
      <c r="V129" s="9">
        <v>44964</v>
      </c>
      <c r="W129" s="8">
        <v>0</v>
      </c>
      <c r="X129" s="9">
        <v>44964</v>
      </c>
      <c r="Y129" s="8">
        <v>0</v>
      </c>
      <c r="Z129" s="9">
        <v>44964</v>
      </c>
      <c r="AA129" s="8">
        <v>0</v>
      </c>
      <c r="AB129" s="9">
        <v>44964</v>
      </c>
      <c r="AC129" s="8">
        <v>0</v>
      </c>
      <c r="AD129" s="8">
        <v>0</v>
      </c>
      <c r="AE129" s="8">
        <v>0</v>
      </c>
      <c r="AF129" s="9">
        <v>44964</v>
      </c>
      <c r="AG129" s="10" t="s">
        <v>189</v>
      </c>
      <c r="AH129" s="9">
        <v>44964</v>
      </c>
      <c r="AI129" s="10" t="s">
        <v>189</v>
      </c>
      <c r="AJ129" s="9">
        <v>44964</v>
      </c>
      <c r="AK129" s="5"/>
    </row>
    <row r="130" spans="1:37" ht="27" customHeight="1">
      <c r="A130" s="1">
        <v>127</v>
      </c>
      <c r="B130" s="5"/>
      <c r="C130" s="5"/>
      <c r="D130" s="5"/>
      <c r="E130" s="13"/>
      <c r="F130" s="14" t="s">
        <v>301</v>
      </c>
      <c r="G130" s="1"/>
      <c r="H130" s="14">
        <v>1</v>
      </c>
      <c r="I130" s="5"/>
      <c r="J130" s="1"/>
      <c r="K130" s="5"/>
      <c r="L130" s="6"/>
      <c r="M130" s="5"/>
      <c r="N130" s="15">
        <v>44964</v>
      </c>
      <c r="O130" s="8">
        <v>0</v>
      </c>
      <c r="P130" s="9">
        <v>44964</v>
      </c>
      <c r="Q130" s="8">
        <v>0</v>
      </c>
      <c r="R130" s="9">
        <v>44964</v>
      </c>
      <c r="S130" s="8">
        <v>0</v>
      </c>
      <c r="T130" s="9">
        <v>44964</v>
      </c>
      <c r="U130" s="8">
        <v>0</v>
      </c>
      <c r="V130" s="9">
        <v>44964</v>
      </c>
      <c r="W130" s="8">
        <v>0</v>
      </c>
      <c r="X130" s="9">
        <v>44964</v>
      </c>
      <c r="Y130" s="8">
        <v>0</v>
      </c>
      <c r="Z130" s="9">
        <v>44964</v>
      </c>
      <c r="AA130" s="8">
        <v>0</v>
      </c>
      <c r="AB130" s="9">
        <v>44964</v>
      </c>
      <c r="AC130" s="8">
        <v>0</v>
      </c>
      <c r="AD130" s="8">
        <v>0</v>
      </c>
      <c r="AE130" s="8">
        <v>0</v>
      </c>
      <c r="AF130" s="9">
        <v>44964</v>
      </c>
      <c r="AG130" s="10" t="s">
        <v>189</v>
      </c>
      <c r="AH130" s="9">
        <v>44964</v>
      </c>
      <c r="AI130" s="10" t="s">
        <v>189</v>
      </c>
      <c r="AJ130" s="9">
        <v>44964</v>
      </c>
      <c r="AK130" s="5"/>
    </row>
    <row r="131" spans="1:37" ht="27" customHeight="1">
      <c r="A131" s="1">
        <v>128</v>
      </c>
      <c r="B131" s="5"/>
      <c r="C131" s="5"/>
      <c r="D131" s="5"/>
      <c r="E131" s="13"/>
      <c r="F131" s="14" t="s">
        <v>208</v>
      </c>
      <c r="G131" s="1"/>
      <c r="H131" s="14">
        <v>1</v>
      </c>
      <c r="I131" s="5"/>
      <c r="J131" s="1"/>
      <c r="K131" s="5"/>
      <c r="L131" s="6"/>
      <c r="M131" s="5"/>
      <c r="N131" s="15">
        <v>44964</v>
      </c>
      <c r="O131" s="8">
        <v>0</v>
      </c>
      <c r="P131" s="9">
        <v>44964</v>
      </c>
      <c r="Q131" s="8">
        <v>0</v>
      </c>
      <c r="R131" s="9">
        <v>44964</v>
      </c>
      <c r="S131" s="8">
        <v>0</v>
      </c>
      <c r="T131" s="9">
        <v>44964</v>
      </c>
      <c r="U131" s="8">
        <v>0</v>
      </c>
      <c r="V131" s="9">
        <v>44964</v>
      </c>
      <c r="W131" s="8">
        <v>0</v>
      </c>
      <c r="X131" s="9">
        <v>44964</v>
      </c>
      <c r="Y131" s="8">
        <v>0</v>
      </c>
      <c r="Z131" s="9">
        <v>44964</v>
      </c>
      <c r="AA131" s="8">
        <v>0</v>
      </c>
      <c r="AB131" s="9">
        <v>44964</v>
      </c>
      <c r="AC131" s="8">
        <v>0</v>
      </c>
      <c r="AD131" s="8">
        <v>0</v>
      </c>
      <c r="AE131" s="8">
        <v>0</v>
      </c>
      <c r="AF131" s="9">
        <v>44964</v>
      </c>
      <c r="AG131" s="10" t="s">
        <v>189</v>
      </c>
      <c r="AH131" s="9">
        <v>44964</v>
      </c>
      <c r="AI131" s="10" t="s">
        <v>189</v>
      </c>
      <c r="AJ131" s="9">
        <v>44964</v>
      </c>
      <c r="AK131" s="5"/>
    </row>
    <row r="132" spans="1:37" ht="27" customHeight="1">
      <c r="A132" s="1">
        <v>129</v>
      </c>
      <c r="B132" s="5"/>
      <c r="C132" s="5"/>
      <c r="D132" s="5"/>
      <c r="E132" s="13" t="s">
        <v>377</v>
      </c>
      <c r="F132" s="14" t="s">
        <v>290</v>
      </c>
      <c r="G132" s="1"/>
      <c r="H132" s="14">
        <v>1</v>
      </c>
      <c r="I132" s="5"/>
      <c r="J132" s="1" t="s">
        <v>31</v>
      </c>
      <c r="K132" s="5"/>
      <c r="L132" s="6"/>
      <c r="M132" s="5"/>
      <c r="N132" s="15">
        <v>44964</v>
      </c>
      <c r="O132" s="8">
        <v>0</v>
      </c>
      <c r="P132" s="9">
        <v>44964</v>
      </c>
      <c r="Q132" s="8">
        <v>0</v>
      </c>
      <c r="R132" s="9">
        <v>44964</v>
      </c>
      <c r="S132" s="8">
        <v>0</v>
      </c>
      <c r="T132" s="9">
        <v>44964</v>
      </c>
      <c r="U132" s="8">
        <v>0</v>
      </c>
      <c r="V132" s="9">
        <v>44964</v>
      </c>
      <c r="W132" s="8">
        <v>0</v>
      </c>
      <c r="X132" s="9">
        <v>44964</v>
      </c>
      <c r="Y132" s="8">
        <v>0</v>
      </c>
      <c r="Z132" s="9">
        <v>44964</v>
      </c>
      <c r="AA132" s="8">
        <v>0</v>
      </c>
      <c r="AB132" s="9">
        <v>44964</v>
      </c>
      <c r="AC132" s="8">
        <v>0</v>
      </c>
      <c r="AD132" s="8">
        <v>0</v>
      </c>
      <c r="AE132" s="8">
        <v>0</v>
      </c>
      <c r="AF132" s="9">
        <v>44964</v>
      </c>
      <c r="AG132" s="10" t="s">
        <v>189</v>
      </c>
      <c r="AH132" s="9">
        <v>44964</v>
      </c>
      <c r="AI132" s="10" t="s">
        <v>189</v>
      </c>
      <c r="AJ132" s="9">
        <v>44964</v>
      </c>
      <c r="AK132" s="5"/>
    </row>
    <row r="133" spans="1:37" ht="27" customHeight="1">
      <c r="A133" s="1">
        <v>130</v>
      </c>
      <c r="B133" s="5"/>
      <c r="C133" s="5"/>
      <c r="D133" s="5"/>
      <c r="E133" s="13" t="s">
        <v>378</v>
      </c>
      <c r="F133" s="14" t="s">
        <v>211</v>
      </c>
      <c r="G133" s="1"/>
      <c r="H133" s="14">
        <v>1</v>
      </c>
      <c r="I133" s="5"/>
      <c r="J133" s="1" t="s">
        <v>30</v>
      </c>
      <c r="K133" s="5"/>
      <c r="L133" s="6"/>
      <c r="M133" s="5"/>
      <c r="N133" s="15">
        <v>44964</v>
      </c>
      <c r="O133" s="8">
        <v>0</v>
      </c>
      <c r="P133" s="9">
        <v>44964</v>
      </c>
      <c r="Q133" s="8">
        <v>0</v>
      </c>
      <c r="R133" s="9">
        <v>44964</v>
      </c>
      <c r="S133" s="8">
        <v>0</v>
      </c>
      <c r="T133" s="9">
        <v>44964</v>
      </c>
      <c r="U133" s="8">
        <v>0</v>
      </c>
      <c r="V133" s="9">
        <v>44964</v>
      </c>
      <c r="W133" s="8">
        <v>0</v>
      </c>
      <c r="X133" s="9">
        <v>44964</v>
      </c>
      <c r="Y133" s="8">
        <v>0</v>
      </c>
      <c r="Z133" s="9">
        <v>44964</v>
      </c>
      <c r="AA133" s="8">
        <v>0</v>
      </c>
      <c r="AB133" s="9">
        <v>44964</v>
      </c>
      <c r="AC133" s="8">
        <v>0</v>
      </c>
      <c r="AD133" s="8">
        <v>0</v>
      </c>
      <c r="AE133" s="8">
        <v>0</v>
      </c>
      <c r="AF133" s="9">
        <v>44964</v>
      </c>
      <c r="AG133" s="10" t="s">
        <v>189</v>
      </c>
      <c r="AH133" s="9">
        <v>44964</v>
      </c>
      <c r="AI133" s="10" t="s">
        <v>189</v>
      </c>
      <c r="AJ133" s="9">
        <v>44964</v>
      </c>
      <c r="AK133" s="5"/>
    </row>
    <row r="134" spans="1:37" ht="27" customHeight="1">
      <c r="A134" s="1">
        <v>131</v>
      </c>
      <c r="B134" s="5"/>
      <c r="C134" s="5"/>
      <c r="D134" s="5"/>
      <c r="E134" s="13"/>
      <c r="F134" s="14" t="s">
        <v>208</v>
      </c>
      <c r="G134" s="1"/>
      <c r="H134" s="14">
        <v>1</v>
      </c>
      <c r="I134" s="5"/>
      <c r="J134" s="1"/>
      <c r="K134" s="5"/>
      <c r="L134" s="6"/>
      <c r="M134" s="5"/>
      <c r="N134" s="15">
        <v>44964</v>
      </c>
      <c r="O134" s="8">
        <v>0</v>
      </c>
      <c r="P134" s="9">
        <v>44964</v>
      </c>
      <c r="Q134" s="8">
        <v>0</v>
      </c>
      <c r="R134" s="9">
        <v>44964</v>
      </c>
      <c r="S134" s="8">
        <v>0</v>
      </c>
      <c r="T134" s="9">
        <v>44964</v>
      </c>
      <c r="U134" s="8">
        <v>0</v>
      </c>
      <c r="V134" s="9">
        <v>44964</v>
      </c>
      <c r="W134" s="8">
        <v>0</v>
      </c>
      <c r="X134" s="9">
        <v>44964</v>
      </c>
      <c r="Y134" s="8">
        <v>0</v>
      </c>
      <c r="Z134" s="9">
        <v>44964</v>
      </c>
      <c r="AA134" s="8">
        <v>0</v>
      </c>
      <c r="AB134" s="9">
        <v>44964</v>
      </c>
      <c r="AC134" s="8">
        <v>0</v>
      </c>
      <c r="AD134" s="8">
        <v>0</v>
      </c>
      <c r="AE134" s="8">
        <v>0</v>
      </c>
      <c r="AF134" s="9">
        <v>44964</v>
      </c>
      <c r="AG134" s="10" t="s">
        <v>189</v>
      </c>
      <c r="AH134" s="9">
        <v>44964</v>
      </c>
      <c r="AI134" s="10" t="s">
        <v>189</v>
      </c>
      <c r="AJ134" s="9">
        <v>44964</v>
      </c>
      <c r="AK134" s="5"/>
    </row>
    <row r="135" spans="1:37" ht="27" customHeight="1">
      <c r="A135" s="1">
        <v>132</v>
      </c>
      <c r="B135" s="5"/>
      <c r="C135" s="5"/>
      <c r="D135" s="5"/>
      <c r="E135" s="13" t="s">
        <v>379</v>
      </c>
      <c r="F135" s="14" t="s">
        <v>292</v>
      </c>
      <c r="G135" s="1"/>
      <c r="H135" s="14">
        <v>1</v>
      </c>
      <c r="I135" s="5"/>
      <c r="J135" s="1"/>
      <c r="K135" s="5"/>
      <c r="L135" s="6"/>
      <c r="M135" s="5"/>
      <c r="N135" s="15">
        <v>44964</v>
      </c>
      <c r="O135" s="8">
        <v>0</v>
      </c>
      <c r="P135" s="9">
        <v>44964</v>
      </c>
      <c r="Q135" s="8">
        <v>0</v>
      </c>
      <c r="R135" s="9">
        <v>44964</v>
      </c>
      <c r="S135" s="8">
        <v>0</v>
      </c>
      <c r="T135" s="9">
        <v>44964</v>
      </c>
      <c r="U135" s="8">
        <v>0</v>
      </c>
      <c r="V135" s="9">
        <v>44964</v>
      </c>
      <c r="W135" s="8">
        <v>0</v>
      </c>
      <c r="X135" s="9">
        <v>44964</v>
      </c>
      <c r="Y135" s="8">
        <v>0</v>
      </c>
      <c r="Z135" s="9">
        <v>44964</v>
      </c>
      <c r="AA135" s="8">
        <v>0</v>
      </c>
      <c r="AB135" s="9">
        <v>44964</v>
      </c>
      <c r="AC135" s="8">
        <v>0</v>
      </c>
      <c r="AD135" s="8">
        <v>0</v>
      </c>
      <c r="AE135" s="8">
        <v>0</v>
      </c>
      <c r="AF135" s="9">
        <v>44964</v>
      </c>
      <c r="AG135" s="10" t="s">
        <v>189</v>
      </c>
      <c r="AH135" s="9">
        <v>44964</v>
      </c>
      <c r="AI135" s="10" t="s">
        <v>189</v>
      </c>
      <c r="AJ135" s="9">
        <v>44964</v>
      </c>
      <c r="AK135" s="5"/>
    </row>
    <row r="136" spans="1:37" ht="27" customHeight="1">
      <c r="A136" s="1">
        <v>133</v>
      </c>
      <c r="B136" s="5"/>
      <c r="C136" s="5"/>
      <c r="D136" s="5"/>
      <c r="E136" s="13" t="s">
        <v>380</v>
      </c>
      <c r="F136" s="14" t="s">
        <v>290</v>
      </c>
      <c r="G136" s="1"/>
      <c r="H136" s="14">
        <v>1</v>
      </c>
      <c r="I136" s="5"/>
      <c r="J136" s="1" t="s">
        <v>31</v>
      </c>
      <c r="K136" s="5"/>
      <c r="L136" s="6"/>
      <c r="M136" s="5"/>
      <c r="N136" s="15">
        <v>44964</v>
      </c>
      <c r="O136" s="8">
        <v>0</v>
      </c>
      <c r="P136" s="9">
        <v>44964</v>
      </c>
      <c r="Q136" s="8">
        <v>0</v>
      </c>
      <c r="R136" s="9">
        <v>44964</v>
      </c>
      <c r="S136" s="8">
        <v>0</v>
      </c>
      <c r="T136" s="9">
        <v>44964</v>
      </c>
      <c r="U136" s="8">
        <v>0</v>
      </c>
      <c r="V136" s="9">
        <v>44964</v>
      </c>
      <c r="W136" s="8">
        <v>0</v>
      </c>
      <c r="X136" s="9">
        <v>44964</v>
      </c>
      <c r="Y136" s="8">
        <v>0</v>
      </c>
      <c r="Z136" s="9">
        <v>44964</v>
      </c>
      <c r="AA136" s="8">
        <v>0</v>
      </c>
      <c r="AB136" s="9">
        <v>44964</v>
      </c>
      <c r="AC136" s="8">
        <v>0</v>
      </c>
      <c r="AD136" s="8">
        <v>0</v>
      </c>
      <c r="AE136" s="8">
        <v>0</v>
      </c>
      <c r="AF136" s="9">
        <v>44964</v>
      </c>
      <c r="AG136" s="10" t="s">
        <v>189</v>
      </c>
      <c r="AH136" s="9">
        <v>44964</v>
      </c>
      <c r="AI136" s="10" t="s">
        <v>189</v>
      </c>
      <c r="AJ136" s="9">
        <v>44964</v>
      </c>
      <c r="AK136" s="5"/>
    </row>
    <row r="137" spans="1:37" ht="27" customHeight="1">
      <c r="A137" s="1">
        <v>134</v>
      </c>
      <c r="B137" s="5"/>
      <c r="C137" s="5"/>
      <c r="D137" s="5"/>
      <c r="E137" s="13"/>
      <c r="F137" s="14" t="s">
        <v>367</v>
      </c>
      <c r="G137" s="1"/>
      <c r="H137" s="14">
        <v>6</v>
      </c>
      <c r="I137" s="5"/>
      <c r="J137" s="1"/>
      <c r="K137" s="5"/>
      <c r="L137" s="6"/>
      <c r="M137" s="5"/>
      <c r="N137" s="15">
        <v>44964</v>
      </c>
      <c r="O137" s="8">
        <v>0</v>
      </c>
      <c r="P137" s="9">
        <v>44964</v>
      </c>
      <c r="Q137" s="8">
        <v>0</v>
      </c>
      <c r="R137" s="9">
        <v>44964</v>
      </c>
      <c r="S137" s="8">
        <v>0</v>
      </c>
      <c r="T137" s="9">
        <v>44964</v>
      </c>
      <c r="U137" s="8">
        <v>0</v>
      </c>
      <c r="V137" s="9">
        <v>44964</v>
      </c>
      <c r="W137" s="8">
        <v>0</v>
      </c>
      <c r="X137" s="9">
        <v>44964</v>
      </c>
      <c r="Y137" s="8">
        <v>0</v>
      </c>
      <c r="Z137" s="9">
        <v>44964</v>
      </c>
      <c r="AA137" s="8">
        <v>0</v>
      </c>
      <c r="AB137" s="9">
        <v>44964</v>
      </c>
      <c r="AC137" s="8">
        <v>0</v>
      </c>
      <c r="AD137" s="8">
        <v>0</v>
      </c>
      <c r="AE137" s="8">
        <v>0</v>
      </c>
      <c r="AF137" s="9">
        <v>44964</v>
      </c>
      <c r="AG137" s="10" t="s">
        <v>189</v>
      </c>
      <c r="AH137" s="9">
        <v>44964</v>
      </c>
      <c r="AI137" s="10" t="s">
        <v>189</v>
      </c>
      <c r="AJ137" s="9">
        <v>44964</v>
      </c>
      <c r="AK137" s="5"/>
    </row>
    <row r="138" spans="1:37" ht="27" customHeight="1">
      <c r="A138" s="1">
        <v>135</v>
      </c>
      <c r="B138" s="5"/>
      <c r="C138" s="5"/>
      <c r="D138" s="5"/>
      <c r="E138" s="13"/>
      <c r="F138" s="14" t="s">
        <v>235</v>
      </c>
      <c r="G138" s="1"/>
      <c r="H138" s="14">
        <v>2</v>
      </c>
      <c r="I138" s="5"/>
      <c r="J138" s="1"/>
      <c r="K138" s="5"/>
      <c r="L138" s="6"/>
      <c r="M138" s="5"/>
      <c r="N138" s="15">
        <v>44964</v>
      </c>
      <c r="O138" s="8">
        <v>0</v>
      </c>
      <c r="P138" s="9">
        <v>44964</v>
      </c>
      <c r="Q138" s="8">
        <v>0</v>
      </c>
      <c r="R138" s="9">
        <v>44964</v>
      </c>
      <c r="S138" s="8">
        <v>0</v>
      </c>
      <c r="T138" s="9">
        <v>44964</v>
      </c>
      <c r="U138" s="8">
        <v>0</v>
      </c>
      <c r="V138" s="9">
        <v>44964</v>
      </c>
      <c r="W138" s="8">
        <v>0</v>
      </c>
      <c r="X138" s="9">
        <v>44964</v>
      </c>
      <c r="Y138" s="8">
        <v>0</v>
      </c>
      <c r="Z138" s="9">
        <v>44964</v>
      </c>
      <c r="AA138" s="8">
        <v>0</v>
      </c>
      <c r="AB138" s="9">
        <v>44964</v>
      </c>
      <c r="AC138" s="8">
        <v>0</v>
      </c>
      <c r="AD138" s="8">
        <v>0</v>
      </c>
      <c r="AE138" s="8">
        <v>0</v>
      </c>
      <c r="AF138" s="9">
        <v>44964</v>
      </c>
      <c r="AG138" s="10" t="s">
        <v>189</v>
      </c>
      <c r="AH138" s="9">
        <v>44964</v>
      </c>
      <c r="AI138" s="10" t="s">
        <v>189</v>
      </c>
      <c r="AJ138" s="9">
        <v>44964</v>
      </c>
      <c r="AK138" s="5"/>
    </row>
    <row r="139" spans="1:37" ht="27" customHeight="1">
      <c r="A139" s="1">
        <v>136</v>
      </c>
      <c r="B139" s="5"/>
      <c r="C139" s="5"/>
      <c r="D139" s="5"/>
      <c r="E139" s="13" t="s">
        <v>381</v>
      </c>
      <c r="F139" s="14" t="s">
        <v>237</v>
      </c>
      <c r="G139" s="1"/>
      <c r="H139" s="14">
        <v>6</v>
      </c>
      <c r="I139" s="5"/>
      <c r="J139" s="1"/>
      <c r="K139" s="5"/>
      <c r="L139" s="6"/>
      <c r="M139" s="5"/>
      <c r="N139" s="15">
        <v>44964</v>
      </c>
      <c r="O139" s="8">
        <v>0</v>
      </c>
      <c r="P139" s="9">
        <v>44964</v>
      </c>
      <c r="Q139" s="8">
        <v>0</v>
      </c>
      <c r="R139" s="9">
        <v>44964</v>
      </c>
      <c r="S139" s="8">
        <v>0</v>
      </c>
      <c r="T139" s="9">
        <v>44964</v>
      </c>
      <c r="U139" s="8">
        <v>0</v>
      </c>
      <c r="V139" s="9">
        <v>44964</v>
      </c>
      <c r="W139" s="8">
        <v>0</v>
      </c>
      <c r="X139" s="9">
        <v>44964</v>
      </c>
      <c r="Y139" s="8">
        <v>0</v>
      </c>
      <c r="Z139" s="9">
        <v>44964</v>
      </c>
      <c r="AA139" s="8">
        <v>0</v>
      </c>
      <c r="AB139" s="9">
        <v>44964</v>
      </c>
      <c r="AC139" s="8">
        <v>0</v>
      </c>
      <c r="AD139" s="8">
        <v>0</v>
      </c>
      <c r="AE139" s="8">
        <v>0</v>
      </c>
      <c r="AF139" s="9">
        <v>44964</v>
      </c>
      <c r="AG139" s="10" t="s">
        <v>189</v>
      </c>
      <c r="AH139" s="9">
        <v>44964</v>
      </c>
      <c r="AI139" s="10" t="s">
        <v>189</v>
      </c>
      <c r="AJ139" s="9">
        <v>44964</v>
      </c>
      <c r="AK139" s="5"/>
    </row>
    <row r="140" spans="1:37" ht="27" customHeight="1">
      <c r="A140" s="1">
        <v>137</v>
      </c>
      <c r="B140" s="5"/>
      <c r="C140" s="5"/>
      <c r="D140" s="5"/>
      <c r="E140" s="13"/>
      <c r="F140" s="14" t="s">
        <v>208</v>
      </c>
      <c r="G140" s="1"/>
      <c r="H140" s="14">
        <v>1</v>
      </c>
      <c r="I140" s="5"/>
      <c r="J140" s="1"/>
      <c r="K140" s="5"/>
      <c r="L140" s="6"/>
      <c r="M140" s="5"/>
      <c r="N140" s="15">
        <v>44964</v>
      </c>
      <c r="O140" s="8">
        <v>0</v>
      </c>
      <c r="P140" s="9">
        <v>44964</v>
      </c>
      <c r="Q140" s="8">
        <v>0</v>
      </c>
      <c r="R140" s="9">
        <v>44964</v>
      </c>
      <c r="S140" s="8">
        <v>0</v>
      </c>
      <c r="T140" s="9">
        <v>44964</v>
      </c>
      <c r="U140" s="8">
        <v>0</v>
      </c>
      <c r="V140" s="9">
        <v>44964</v>
      </c>
      <c r="W140" s="8">
        <v>0</v>
      </c>
      <c r="X140" s="9">
        <v>44964</v>
      </c>
      <c r="Y140" s="8">
        <v>0</v>
      </c>
      <c r="Z140" s="9">
        <v>44964</v>
      </c>
      <c r="AA140" s="8">
        <v>0</v>
      </c>
      <c r="AB140" s="9">
        <v>44964</v>
      </c>
      <c r="AC140" s="8">
        <v>0</v>
      </c>
      <c r="AD140" s="8">
        <v>0</v>
      </c>
      <c r="AE140" s="8">
        <v>0</v>
      </c>
      <c r="AF140" s="9">
        <v>44964</v>
      </c>
      <c r="AG140" s="10" t="s">
        <v>189</v>
      </c>
      <c r="AH140" s="9">
        <v>44964</v>
      </c>
      <c r="AI140" s="10" t="s">
        <v>189</v>
      </c>
      <c r="AJ140" s="9">
        <v>44964</v>
      </c>
      <c r="AK140" s="5"/>
    </row>
    <row r="141" spans="1:37" ht="27" customHeight="1">
      <c r="A141" s="1">
        <v>138</v>
      </c>
      <c r="B141" s="5"/>
      <c r="C141" s="5"/>
      <c r="D141" s="5"/>
      <c r="E141" s="13" t="s">
        <v>382</v>
      </c>
      <c r="F141" s="14" t="s">
        <v>292</v>
      </c>
      <c r="G141" s="1"/>
      <c r="H141" s="14">
        <v>1</v>
      </c>
      <c r="I141" s="5"/>
      <c r="J141" s="1"/>
      <c r="K141" s="5"/>
      <c r="L141" s="6"/>
      <c r="M141" s="5"/>
      <c r="N141" s="15">
        <v>44964</v>
      </c>
      <c r="O141" s="8">
        <v>0</v>
      </c>
      <c r="P141" s="9">
        <v>44964</v>
      </c>
      <c r="Q141" s="8">
        <v>0</v>
      </c>
      <c r="R141" s="9">
        <v>44964</v>
      </c>
      <c r="S141" s="8">
        <v>0</v>
      </c>
      <c r="T141" s="9">
        <v>44964</v>
      </c>
      <c r="U141" s="8">
        <v>0</v>
      </c>
      <c r="V141" s="9">
        <v>44964</v>
      </c>
      <c r="W141" s="8">
        <v>0</v>
      </c>
      <c r="X141" s="9">
        <v>44964</v>
      </c>
      <c r="Y141" s="8">
        <v>0</v>
      </c>
      <c r="Z141" s="9">
        <v>44964</v>
      </c>
      <c r="AA141" s="8">
        <v>0</v>
      </c>
      <c r="AB141" s="9">
        <v>44964</v>
      </c>
      <c r="AC141" s="8">
        <v>0</v>
      </c>
      <c r="AD141" s="8">
        <v>0</v>
      </c>
      <c r="AE141" s="8">
        <v>0</v>
      </c>
      <c r="AF141" s="9">
        <v>44964</v>
      </c>
      <c r="AG141" s="10" t="s">
        <v>189</v>
      </c>
      <c r="AH141" s="9">
        <v>44964</v>
      </c>
      <c r="AI141" s="10" t="s">
        <v>189</v>
      </c>
      <c r="AJ141" s="9">
        <v>44964</v>
      </c>
      <c r="AK141" s="5"/>
    </row>
    <row r="142" spans="1:37" ht="27" customHeight="1">
      <c r="A142" s="1">
        <v>139</v>
      </c>
      <c r="B142" s="5"/>
      <c r="C142" s="5"/>
      <c r="D142" s="5"/>
      <c r="E142" s="13" t="s">
        <v>383</v>
      </c>
      <c r="F142" s="14" t="s">
        <v>287</v>
      </c>
      <c r="G142" s="1"/>
      <c r="H142" s="14">
        <v>1</v>
      </c>
      <c r="I142" s="5"/>
      <c r="J142" s="1" t="s">
        <v>198</v>
      </c>
      <c r="K142" s="5"/>
      <c r="L142" s="6"/>
      <c r="M142" s="5"/>
      <c r="N142" s="15">
        <v>44998</v>
      </c>
      <c r="O142" s="8">
        <v>0</v>
      </c>
      <c r="P142" s="9">
        <v>44964</v>
      </c>
      <c r="Q142" s="8">
        <v>0</v>
      </c>
      <c r="R142" s="9">
        <v>44964</v>
      </c>
      <c r="S142" s="8">
        <v>0</v>
      </c>
      <c r="T142" s="9">
        <v>44964</v>
      </c>
      <c r="U142" s="8">
        <v>0</v>
      </c>
      <c r="V142" s="9">
        <v>44964</v>
      </c>
      <c r="W142" s="8">
        <v>0</v>
      </c>
      <c r="X142" s="9">
        <v>44964</v>
      </c>
      <c r="Y142" s="8">
        <v>0</v>
      </c>
      <c r="Z142" s="9">
        <v>44964</v>
      </c>
      <c r="AA142" s="8">
        <v>0</v>
      </c>
      <c r="AB142" s="9">
        <v>44964</v>
      </c>
      <c r="AC142" s="8">
        <v>0</v>
      </c>
      <c r="AD142" s="8">
        <v>0</v>
      </c>
      <c r="AE142" s="8">
        <v>0</v>
      </c>
      <c r="AF142" s="9">
        <v>44964</v>
      </c>
      <c r="AG142" s="10" t="s">
        <v>189</v>
      </c>
      <c r="AH142" s="9">
        <v>44964</v>
      </c>
      <c r="AI142" s="10" t="s">
        <v>189</v>
      </c>
      <c r="AJ142" s="9">
        <v>44964</v>
      </c>
      <c r="AK142" s="5"/>
    </row>
    <row r="143" spans="1:37" ht="27" customHeight="1">
      <c r="A143" s="1">
        <v>140</v>
      </c>
      <c r="B143" s="5"/>
      <c r="C143" s="5"/>
      <c r="D143" s="5"/>
      <c r="E143" s="13" t="s">
        <v>384</v>
      </c>
      <c r="F143" s="14" t="s">
        <v>287</v>
      </c>
      <c r="G143" s="1"/>
      <c r="H143" s="14">
        <v>1</v>
      </c>
      <c r="I143" s="5"/>
      <c r="J143" s="1" t="s">
        <v>198</v>
      </c>
      <c r="K143" s="5"/>
      <c r="L143" s="6"/>
      <c r="M143" s="5"/>
      <c r="N143" s="15">
        <v>44998</v>
      </c>
      <c r="O143" s="8">
        <v>0</v>
      </c>
      <c r="P143" s="9">
        <v>44964</v>
      </c>
      <c r="Q143" s="8">
        <v>0</v>
      </c>
      <c r="R143" s="9">
        <v>44964</v>
      </c>
      <c r="S143" s="8">
        <v>0</v>
      </c>
      <c r="T143" s="9">
        <v>44964</v>
      </c>
      <c r="U143" s="8">
        <v>0</v>
      </c>
      <c r="V143" s="9">
        <v>44964</v>
      </c>
      <c r="W143" s="8">
        <v>0</v>
      </c>
      <c r="X143" s="9">
        <v>44964</v>
      </c>
      <c r="Y143" s="8">
        <v>0</v>
      </c>
      <c r="Z143" s="9">
        <v>44964</v>
      </c>
      <c r="AA143" s="8">
        <v>0</v>
      </c>
      <c r="AB143" s="9">
        <v>44964</v>
      </c>
      <c r="AC143" s="8">
        <v>0</v>
      </c>
      <c r="AD143" s="8">
        <v>0</v>
      </c>
      <c r="AE143" s="8">
        <v>0</v>
      </c>
      <c r="AF143" s="9">
        <v>44964</v>
      </c>
      <c r="AG143" s="10" t="s">
        <v>189</v>
      </c>
      <c r="AH143" s="9">
        <v>44964</v>
      </c>
      <c r="AI143" s="10" t="s">
        <v>189</v>
      </c>
      <c r="AJ143" s="9">
        <v>44964</v>
      </c>
      <c r="AK143" s="5"/>
    </row>
    <row r="144" spans="1:37" ht="27" customHeight="1">
      <c r="A144" s="1">
        <v>141</v>
      </c>
      <c r="B144" s="5"/>
      <c r="C144" s="5"/>
      <c r="D144" s="5"/>
      <c r="E144" s="13"/>
      <c r="F144" s="14" t="s">
        <v>301</v>
      </c>
      <c r="G144" s="1"/>
      <c r="H144" s="14">
        <v>2</v>
      </c>
      <c r="I144" s="5"/>
      <c r="J144" s="1"/>
      <c r="K144" s="5"/>
      <c r="L144" s="6"/>
      <c r="M144" s="5"/>
      <c r="N144" s="15">
        <v>44964</v>
      </c>
      <c r="O144" s="8">
        <v>0</v>
      </c>
      <c r="P144" s="9">
        <v>44964</v>
      </c>
      <c r="Q144" s="8">
        <v>0</v>
      </c>
      <c r="R144" s="9">
        <v>44964</v>
      </c>
      <c r="S144" s="8">
        <v>0</v>
      </c>
      <c r="T144" s="9">
        <v>44964</v>
      </c>
      <c r="U144" s="8">
        <v>0</v>
      </c>
      <c r="V144" s="9">
        <v>44964</v>
      </c>
      <c r="W144" s="8">
        <v>0</v>
      </c>
      <c r="X144" s="9">
        <v>44964</v>
      </c>
      <c r="Y144" s="8">
        <v>0</v>
      </c>
      <c r="Z144" s="9">
        <v>44964</v>
      </c>
      <c r="AA144" s="8">
        <v>0</v>
      </c>
      <c r="AB144" s="9">
        <v>44964</v>
      </c>
      <c r="AC144" s="8">
        <v>0</v>
      </c>
      <c r="AD144" s="8">
        <v>0</v>
      </c>
      <c r="AE144" s="8">
        <v>0</v>
      </c>
      <c r="AF144" s="9">
        <v>44964</v>
      </c>
      <c r="AG144" s="10" t="s">
        <v>189</v>
      </c>
      <c r="AH144" s="9">
        <v>44964</v>
      </c>
      <c r="AI144" s="10" t="s">
        <v>189</v>
      </c>
      <c r="AJ144" s="9">
        <v>44964</v>
      </c>
      <c r="AK144" s="5"/>
    </row>
    <row r="145" spans="1:37" ht="27" customHeight="1">
      <c r="A145" s="1">
        <v>142</v>
      </c>
      <c r="B145" s="5"/>
      <c r="C145" s="5"/>
      <c r="D145" s="5"/>
      <c r="E145" s="13" t="s">
        <v>385</v>
      </c>
      <c r="F145" s="14" t="s">
        <v>211</v>
      </c>
      <c r="G145" s="1"/>
      <c r="H145" s="14">
        <v>1</v>
      </c>
      <c r="I145" s="5"/>
      <c r="J145" s="1" t="s">
        <v>30</v>
      </c>
      <c r="K145" s="5"/>
      <c r="L145" s="6"/>
      <c r="M145" s="5"/>
      <c r="N145" s="15">
        <v>44964</v>
      </c>
      <c r="O145" s="8">
        <v>0</v>
      </c>
      <c r="P145" s="9">
        <v>44964</v>
      </c>
      <c r="Q145" s="8">
        <v>0</v>
      </c>
      <c r="R145" s="9">
        <v>44964</v>
      </c>
      <c r="S145" s="8">
        <v>0</v>
      </c>
      <c r="T145" s="9">
        <v>44964</v>
      </c>
      <c r="U145" s="8">
        <v>0</v>
      </c>
      <c r="V145" s="9">
        <v>44964</v>
      </c>
      <c r="W145" s="8">
        <v>0</v>
      </c>
      <c r="X145" s="9">
        <v>44964</v>
      </c>
      <c r="Y145" s="8">
        <v>0</v>
      </c>
      <c r="Z145" s="9">
        <v>44964</v>
      </c>
      <c r="AA145" s="8">
        <v>0</v>
      </c>
      <c r="AB145" s="9">
        <v>44964</v>
      </c>
      <c r="AC145" s="8">
        <v>0</v>
      </c>
      <c r="AD145" s="8">
        <v>0</v>
      </c>
      <c r="AE145" s="8">
        <v>0</v>
      </c>
      <c r="AF145" s="9">
        <v>44964</v>
      </c>
      <c r="AG145" s="10" t="s">
        <v>189</v>
      </c>
      <c r="AH145" s="9">
        <v>44964</v>
      </c>
      <c r="AI145" s="10" t="s">
        <v>189</v>
      </c>
      <c r="AJ145" s="9">
        <v>44964</v>
      </c>
      <c r="AK145" s="5"/>
    </row>
    <row r="146" spans="1:37" ht="27" customHeight="1">
      <c r="A146" s="1">
        <v>143</v>
      </c>
      <c r="B146" s="5"/>
      <c r="C146" s="5"/>
      <c r="D146" s="5"/>
      <c r="E146" s="13" t="s">
        <v>386</v>
      </c>
      <c r="F146" s="14" t="s">
        <v>387</v>
      </c>
      <c r="G146" s="1"/>
      <c r="H146" s="14">
        <v>1</v>
      </c>
      <c r="I146" s="5"/>
      <c r="J146" s="1" t="s">
        <v>30</v>
      </c>
      <c r="K146" s="5"/>
      <c r="L146" s="6"/>
      <c r="M146" s="5"/>
      <c r="N146" s="15">
        <v>44964</v>
      </c>
      <c r="O146" s="8">
        <v>0</v>
      </c>
      <c r="P146" s="9">
        <v>44964</v>
      </c>
      <c r="Q146" s="8">
        <v>0</v>
      </c>
      <c r="R146" s="9">
        <v>44964</v>
      </c>
      <c r="S146" s="8">
        <v>0</v>
      </c>
      <c r="T146" s="9">
        <v>44964</v>
      </c>
      <c r="U146" s="8">
        <v>0</v>
      </c>
      <c r="V146" s="9">
        <v>44964</v>
      </c>
      <c r="W146" s="8">
        <v>0</v>
      </c>
      <c r="X146" s="9">
        <v>44964</v>
      </c>
      <c r="Y146" s="8">
        <v>0</v>
      </c>
      <c r="Z146" s="9">
        <v>44964</v>
      </c>
      <c r="AA146" s="8">
        <v>0</v>
      </c>
      <c r="AB146" s="9">
        <v>44964</v>
      </c>
      <c r="AC146" s="8">
        <v>0</v>
      </c>
      <c r="AD146" s="8">
        <v>0</v>
      </c>
      <c r="AE146" s="8">
        <v>0</v>
      </c>
      <c r="AF146" s="9">
        <v>44964</v>
      </c>
      <c r="AG146" s="10" t="s">
        <v>189</v>
      </c>
      <c r="AH146" s="9">
        <v>44964</v>
      </c>
      <c r="AI146" s="10" t="s">
        <v>189</v>
      </c>
      <c r="AJ146" s="9">
        <v>44964</v>
      </c>
      <c r="AK146" s="5"/>
    </row>
    <row r="147" spans="1:37" ht="27" customHeight="1">
      <c r="A147" s="1">
        <v>144</v>
      </c>
      <c r="B147" s="5"/>
      <c r="C147" s="5"/>
      <c r="D147" s="5"/>
      <c r="E147" s="13" t="s">
        <v>388</v>
      </c>
      <c r="F147" s="14" t="s">
        <v>387</v>
      </c>
      <c r="G147" s="1"/>
      <c r="H147" s="14">
        <v>1</v>
      </c>
      <c r="I147" s="5"/>
      <c r="J147" s="1" t="s">
        <v>30</v>
      </c>
      <c r="K147" s="5"/>
      <c r="L147" s="6"/>
      <c r="M147" s="5"/>
      <c r="N147" s="15">
        <v>44964</v>
      </c>
      <c r="O147" s="8">
        <v>0</v>
      </c>
      <c r="P147" s="9">
        <v>44964</v>
      </c>
      <c r="Q147" s="8">
        <v>0</v>
      </c>
      <c r="R147" s="9">
        <v>44964</v>
      </c>
      <c r="S147" s="8">
        <v>0</v>
      </c>
      <c r="T147" s="9">
        <v>44964</v>
      </c>
      <c r="U147" s="8">
        <v>0</v>
      </c>
      <c r="V147" s="9">
        <v>44964</v>
      </c>
      <c r="W147" s="8">
        <v>0</v>
      </c>
      <c r="X147" s="9">
        <v>44964</v>
      </c>
      <c r="Y147" s="8">
        <v>0</v>
      </c>
      <c r="Z147" s="9">
        <v>44964</v>
      </c>
      <c r="AA147" s="8">
        <v>0</v>
      </c>
      <c r="AB147" s="9">
        <v>44964</v>
      </c>
      <c r="AC147" s="8">
        <v>0</v>
      </c>
      <c r="AD147" s="8">
        <v>0</v>
      </c>
      <c r="AE147" s="8">
        <v>0</v>
      </c>
      <c r="AF147" s="9">
        <v>44964</v>
      </c>
      <c r="AG147" s="10" t="s">
        <v>189</v>
      </c>
      <c r="AH147" s="9">
        <v>44964</v>
      </c>
      <c r="AI147" s="10" t="s">
        <v>189</v>
      </c>
      <c r="AJ147" s="9">
        <v>44964</v>
      </c>
      <c r="AK147" s="5"/>
    </row>
    <row r="148" spans="1:37" ht="27" customHeight="1">
      <c r="A148" s="1">
        <v>145</v>
      </c>
      <c r="B148" s="5"/>
      <c r="C148" s="5"/>
      <c r="D148" s="5"/>
      <c r="E148" s="13"/>
      <c r="F148" s="14" t="s">
        <v>208</v>
      </c>
      <c r="G148" s="1"/>
      <c r="H148" s="14">
        <v>1</v>
      </c>
      <c r="I148" s="5"/>
      <c r="J148" s="1"/>
      <c r="K148" s="5"/>
      <c r="L148" s="6"/>
      <c r="M148" s="5"/>
      <c r="N148" s="15">
        <v>44964</v>
      </c>
      <c r="O148" s="8">
        <v>0</v>
      </c>
      <c r="P148" s="9">
        <v>44964</v>
      </c>
      <c r="Q148" s="8">
        <v>0</v>
      </c>
      <c r="R148" s="9">
        <v>44964</v>
      </c>
      <c r="S148" s="8">
        <v>0</v>
      </c>
      <c r="T148" s="9">
        <v>44964</v>
      </c>
      <c r="U148" s="8">
        <v>0</v>
      </c>
      <c r="V148" s="9">
        <v>44964</v>
      </c>
      <c r="W148" s="8">
        <v>0</v>
      </c>
      <c r="X148" s="9">
        <v>44964</v>
      </c>
      <c r="Y148" s="8">
        <v>0</v>
      </c>
      <c r="Z148" s="9">
        <v>44964</v>
      </c>
      <c r="AA148" s="8">
        <v>0</v>
      </c>
      <c r="AB148" s="9">
        <v>44964</v>
      </c>
      <c r="AC148" s="8">
        <v>0</v>
      </c>
      <c r="AD148" s="8">
        <v>0</v>
      </c>
      <c r="AE148" s="8">
        <v>0</v>
      </c>
      <c r="AF148" s="9">
        <v>44964</v>
      </c>
      <c r="AG148" s="10" t="s">
        <v>189</v>
      </c>
      <c r="AH148" s="9">
        <v>44964</v>
      </c>
      <c r="AI148" s="10" t="s">
        <v>189</v>
      </c>
      <c r="AJ148" s="9">
        <v>44964</v>
      </c>
      <c r="AK148" s="5"/>
    </row>
    <row r="149" spans="1:37" ht="27" customHeight="1">
      <c r="A149" s="1">
        <v>146</v>
      </c>
      <c r="B149" s="5"/>
      <c r="C149" s="5"/>
      <c r="D149" s="5"/>
      <c r="E149" s="13" t="s">
        <v>389</v>
      </c>
      <c r="F149" s="14" t="s">
        <v>287</v>
      </c>
      <c r="G149" s="1"/>
      <c r="H149" s="14">
        <v>1</v>
      </c>
      <c r="I149" s="5"/>
      <c r="J149" s="1" t="s">
        <v>198</v>
      </c>
      <c r="K149" s="5"/>
      <c r="L149" s="6"/>
      <c r="M149" s="5"/>
      <c r="N149" s="15">
        <v>44996</v>
      </c>
      <c r="O149" s="8">
        <v>1</v>
      </c>
      <c r="P149" s="9">
        <v>44964</v>
      </c>
      <c r="Q149" s="8">
        <v>0</v>
      </c>
      <c r="R149" s="9">
        <v>44964</v>
      </c>
      <c r="S149" s="8">
        <v>0</v>
      </c>
      <c r="T149" s="9">
        <v>44964</v>
      </c>
      <c r="U149" s="8">
        <v>0</v>
      </c>
      <c r="V149" s="9">
        <v>44964</v>
      </c>
      <c r="W149" s="8">
        <v>0</v>
      </c>
      <c r="X149" s="9">
        <v>44964</v>
      </c>
      <c r="Y149" s="8">
        <v>0</v>
      </c>
      <c r="Z149" s="9">
        <v>44964</v>
      </c>
      <c r="AA149" s="8">
        <v>0</v>
      </c>
      <c r="AB149" s="9">
        <v>44964</v>
      </c>
      <c r="AC149" s="8">
        <v>0</v>
      </c>
      <c r="AD149" s="8">
        <v>0</v>
      </c>
      <c r="AE149" s="8">
        <v>0</v>
      </c>
      <c r="AF149" s="9">
        <v>44964</v>
      </c>
      <c r="AG149" s="10" t="s">
        <v>189</v>
      </c>
      <c r="AH149" s="9">
        <v>44964</v>
      </c>
      <c r="AI149" s="10" t="s">
        <v>189</v>
      </c>
      <c r="AJ149" s="9">
        <v>44964</v>
      </c>
      <c r="AK149" s="5"/>
    </row>
    <row r="150" spans="1:37" ht="27" customHeight="1">
      <c r="A150" s="1">
        <v>147</v>
      </c>
      <c r="B150" s="5"/>
      <c r="C150" s="5"/>
      <c r="D150" s="5"/>
      <c r="E150" s="13"/>
      <c r="F150" s="14" t="s">
        <v>301</v>
      </c>
      <c r="G150" s="1"/>
      <c r="H150" s="14">
        <v>1</v>
      </c>
      <c r="I150" s="5"/>
      <c r="J150" s="1"/>
      <c r="K150" s="5"/>
      <c r="L150" s="6"/>
      <c r="M150" s="5"/>
      <c r="N150" s="15">
        <v>44964</v>
      </c>
      <c r="O150" s="8">
        <v>0</v>
      </c>
      <c r="P150" s="9">
        <v>44964</v>
      </c>
      <c r="Q150" s="8">
        <v>0</v>
      </c>
      <c r="R150" s="9">
        <v>44964</v>
      </c>
      <c r="S150" s="8">
        <v>0</v>
      </c>
      <c r="T150" s="9">
        <v>44964</v>
      </c>
      <c r="U150" s="8">
        <v>0</v>
      </c>
      <c r="V150" s="9">
        <v>44964</v>
      </c>
      <c r="W150" s="8">
        <v>0</v>
      </c>
      <c r="X150" s="9">
        <v>44964</v>
      </c>
      <c r="Y150" s="8">
        <v>0</v>
      </c>
      <c r="Z150" s="9">
        <v>44964</v>
      </c>
      <c r="AA150" s="8">
        <v>0</v>
      </c>
      <c r="AB150" s="9">
        <v>44964</v>
      </c>
      <c r="AC150" s="8">
        <v>0</v>
      </c>
      <c r="AD150" s="8">
        <v>0</v>
      </c>
      <c r="AE150" s="8">
        <v>0</v>
      </c>
      <c r="AF150" s="9">
        <v>44964</v>
      </c>
      <c r="AG150" s="10" t="s">
        <v>189</v>
      </c>
      <c r="AH150" s="9">
        <v>44964</v>
      </c>
      <c r="AI150" s="10" t="s">
        <v>189</v>
      </c>
      <c r="AJ150" s="9">
        <v>44964</v>
      </c>
      <c r="AK150" s="5"/>
    </row>
    <row r="151" spans="1:37" ht="27" customHeight="1">
      <c r="A151" s="1">
        <v>148</v>
      </c>
      <c r="B151" s="5"/>
      <c r="C151" s="5"/>
      <c r="D151" s="5"/>
      <c r="E151" s="13" t="s">
        <v>390</v>
      </c>
      <c r="F151" s="14" t="s">
        <v>211</v>
      </c>
      <c r="G151" s="1"/>
      <c r="H151" s="14">
        <v>1</v>
      </c>
      <c r="I151" s="5"/>
      <c r="J151" s="1" t="s">
        <v>30</v>
      </c>
      <c r="K151" s="5"/>
      <c r="L151" s="6"/>
      <c r="M151" s="5"/>
      <c r="N151" s="15">
        <v>44964</v>
      </c>
      <c r="O151" s="8">
        <v>0</v>
      </c>
      <c r="P151" s="9">
        <v>44964</v>
      </c>
      <c r="Q151" s="8">
        <v>0</v>
      </c>
      <c r="R151" s="9">
        <v>44964</v>
      </c>
      <c r="S151" s="8">
        <v>0</v>
      </c>
      <c r="T151" s="9">
        <v>44964</v>
      </c>
      <c r="U151" s="8">
        <v>0</v>
      </c>
      <c r="V151" s="9">
        <v>44964</v>
      </c>
      <c r="W151" s="8">
        <v>0</v>
      </c>
      <c r="X151" s="9">
        <v>44964</v>
      </c>
      <c r="Y151" s="8">
        <v>0</v>
      </c>
      <c r="Z151" s="9">
        <v>44964</v>
      </c>
      <c r="AA151" s="8">
        <v>0</v>
      </c>
      <c r="AB151" s="9">
        <v>44964</v>
      </c>
      <c r="AC151" s="8">
        <v>0</v>
      </c>
      <c r="AD151" s="8">
        <v>0</v>
      </c>
      <c r="AE151" s="8">
        <v>0</v>
      </c>
      <c r="AF151" s="9">
        <v>44964</v>
      </c>
      <c r="AG151" s="10" t="s">
        <v>189</v>
      </c>
      <c r="AH151" s="9">
        <v>44964</v>
      </c>
      <c r="AI151" s="10" t="s">
        <v>189</v>
      </c>
      <c r="AJ151" s="9">
        <v>44964</v>
      </c>
      <c r="AK151" s="5"/>
    </row>
    <row r="152" spans="1:37" ht="27" customHeight="1">
      <c r="A152" s="1">
        <v>149</v>
      </c>
      <c r="B152" s="5"/>
      <c r="C152" s="5"/>
      <c r="D152" s="5"/>
      <c r="E152" s="13"/>
      <c r="F152" s="14" t="s">
        <v>208</v>
      </c>
      <c r="G152" s="1"/>
      <c r="H152" s="14">
        <v>1</v>
      </c>
      <c r="I152" s="5"/>
      <c r="J152" s="1"/>
      <c r="K152" s="5"/>
      <c r="L152" s="6"/>
      <c r="M152" s="5"/>
      <c r="N152" s="15">
        <v>44964</v>
      </c>
      <c r="O152" s="8">
        <v>0</v>
      </c>
      <c r="P152" s="9">
        <v>44964</v>
      </c>
      <c r="Q152" s="8">
        <v>0</v>
      </c>
      <c r="R152" s="9">
        <v>44964</v>
      </c>
      <c r="S152" s="8">
        <v>0</v>
      </c>
      <c r="T152" s="9">
        <v>44964</v>
      </c>
      <c r="U152" s="8">
        <v>0</v>
      </c>
      <c r="V152" s="9">
        <v>44964</v>
      </c>
      <c r="W152" s="8">
        <v>0</v>
      </c>
      <c r="X152" s="9">
        <v>44964</v>
      </c>
      <c r="Y152" s="8">
        <v>0</v>
      </c>
      <c r="Z152" s="9">
        <v>44964</v>
      </c>
      <c r="AA152" s="8">
        <v>0</v>
      </c>
      <c r="AB152" s="9">
        <v>44964</v>
      </c>
      <c r="AC152" s="8">
        <v>0</v>
      </c>
      <c r="AD152" s="8">
        <v>0</v>
      </c>
      <c r="AE152" s="8">
        <v>0</v>
      </c>
      <c r="AF152" s="9">
        <v>44964</v>
      </c>
      <c r="AG152" s="10" t="s">
        <v>189</v>
      </c>
      <c r="AH152" s="9">
        <v>44964</v>
      </c>
      <c r="AI152" s="10" t="s">
        <v>189</v>
      </c>
      <c r="AJ152" s="9">
        <v>44964</v>
      </c>
      <c r="AK152" s="5"/>
    </row>
    <row r="153" spans="1:37" ht="27" customHeight="1">
      <c r="A153" s="1">
        <v>150</v>
      </c>
      <c r="B153" s="5"/>
      <c r="C153" s="5"/>
      <c r="D153" s="5"/>
      <c r="E153" s="13" t="s">
        <v>391</v>
      </c>
      <c r="F153" s="14" t="s">
        <v>287</v>
      </c>
      <c r="G153" s="1"/>
      <c r="H153" s="14">
        <v>1</v>
      </c>
      <c r="I153" s="5"/>
      <c r="J153" s="1" t="s">
        <v>198</v>
      </c>
      <c r="K153" s="5"/>
      <c r="L153" s="6"/>
      <c r="M153" s="5"/>
      <c r="N153" s="15">
        <v>44998</v>
      </c>
      <c r="O153" s="8">
        <v>1</v>
      </c>
      <c r="P153" s="9">
        <v>44964</v>
      </c>
      <c r="Q153" s="8">
        <v>0</v>
      </c>
      <c r="R153" s="9">
        <v>44964</v>
      </c>
      <c r="S153" s="8">
        <v>0</v>
      </c>
      <c r="T153" s="9">
        <v>44964</v>
      </c>
      <c r="U153" s="8">
        <v>0</v>
      </c>
      <c r="V153" s="9">
        <v>44964</v>
      </c>
      <c r="W153" s="8">
        <v>0</v>
      </c>
      <c r="X153" s="9">
        <v>44964</v>
      </c>
      <c r="Y153" s="8">
        <v>0</v>
      </c>
      <c r="Z153" s="9">
        <v>44964</v>
      </c>
      <c r="AA153" s="8">
        <v>0</v>
      </c>
      <c r="AB153" s="9">
        <v>44964</v>
      </c>
      <c r="AC153" s="8">
        <v>0</v>
      </c>
      <c r="AD153" s="8">
        <v>0</v>
      </c>
      <c r="AE153" s="8">
        <v>0</v>
      </c>
      <c r="AF153" s="9">
        <v>44964</v>
      </c>
      <c r="AG153" s="10" t="s">
        <v>189</v>
      </c>
      <c r="AH153" s="9">
        <v>44964</v>
      </c>
      <c r="AI153" s="10" t="s">
        <v>189</v>
      </c>
      <c r="AJ153" s="9">
        <v>44964</v>
      </c>
      <c r="AK153" s="5"/>
    </row>
    <row r="154" spans="1:37" ht="27" customHeight="1">
      <c r="A154" s="1">
        <v>151</v>
      </c>
      <c r="B154" s="5"/>
      <c r="C154" s="5"/>
      <c r="D154" s="5"/>
      <c r="E154" s="13" t="s">
        <v>392</v>
      </c>
      <c r="F154" s="14" t="s">
        <v>287</v>
      </c>
      <c r="G154" s="1"/>
      <c r="H154" s="14">
        <v>1</v>
      </c>
      <c r="I154" s="5"/>
      <c r="J154" s="1" t="s">
        <v>198</v>
      </c>
      <c r="K154" s="5"/>
      <c r="L154" s="6"/>
      <c r="M154" s="5"/>
      <c r="N154" s="15">
        <v>44998</v>
      </c>
      <c r="O154" s="8">
        <v>1</v>
      </c>
      <c r="P154" s="9">
        <v>44964</v>
      </c>
      <c r="Q154" s="8">
        <v>0</v>
      </c>
      <c r="R154" s="9">
        <v>44964</v>
      </c>
      <c r="S154" s="8">
        <v>0</v>
      </c>
      <c r="T154" s="9">
        <v>44964</v>
      </c>
      <c r="U154" s="8">
        <v>0</v>
      </c>
      <c r="V154" s="9">
        <v>44964</v>
      </c>
      <c r="W154" s="8">
        <v>0</v>
      </c>
      <c r="X154" s="9">
        <v>44964</v>
      </c>
      <c r="Y154" s="8">
        <v>0</v>
      </c>
      <c r="Z154" s="9">
        <v>44964</v>
      </c>
      <c r="AA154" s="8">
        <v>0</v>
      </c>
      <c r="AB154" s="9">
        <v>44964</v>
      </c>
      <c r="AC154" s="8">
        <v>0</v>
      </c>
      <c r="AD154" s="8">
        <v>0</v>
      </c>
      <c r="AE154" s="8">
        <v>0</v>
      </c>
      <c r="AF154" s="9">
        <v>44964</v>
      </c>
      <c r="AG154" s="10" t="s">
        <v>189</v>
      </c>
      <c r="AH154" s="9">
        <v>44964</v>
      </c>
      <c r="AI154" s="10" t="s">
        <v>189</v>
      </c>
      <c r="AJ154" s="9">
        <v>44964</v>
      </c>
      <c r="AK154" s="5"/>
    </row>
    <row r="155" spans="1:37" ht="27" customHeight="1">
      <c r="A155" s="1">
        <v>152</v>
      </c>
      <c r="B155" s="5"/>
      <c r="C155" s="5"/>
      <c r="D155" s="5"/>
      <c r="E155" s="13"/>
      <c r="F155" s="14" t="s">
        <v>301</v>
      </c>
      <c r="G155" s="1"/>
      <c r="H155" s="14">
        <v>2</v>
      </c>
      <c r="I155" s="5"/>
      <c r="J155" s="1"/>
      <c r="K155" s="5"/>
      <c r="L155" s="6"/>
      <c r="M155" s="5"/>
      <c r="N155" s="15">
        <v>44964</v>
      </c>
      <c r="O155" s="8">
        <v>0</v>
      </c>
      <c r="P155" s="9">
        <v>44964</v>
      </c>
      <c r="Q155" s="8">
        <v>0</v>
      </c>
      <c r="R155" s="9">
        <v>44964</v>
      </c>
      <c r="S155" s="8">
        <v>0</v>
      </c>
      <c r="T155" s="9">
        <v>44964</v>
      </c>
      <c r="U155" s="8">
        <v>0</v>
      </c>
      <c r="V155" s="9">
        <v>44964</v>
      </c>
      <c r="W155" s="8">
        <v>0</v>
      </c>
      <c r="X155" s="9">
        <v>44964</v>
      </c>
      <c r="Y155" s="8">
        <v>0</v>
      </c>
      <c r="Z155" s="9">
        <v>44964</v>
      </c>
      <c r="AA155" s="8">
        <v>0</v>
      </c>
      <c r="AB155" s="9">
        <v>44964</v>
      </c>
      <c r="AC155" s="8">
        <v>0</v>
      </c>
      <c r="AD155" s="8">
        <v>0</v>
      </c>
      <c r="AE155" s="8">
        <v>0</v>
      </c>
      <c r="AF155" s="9">
        <v>44964</v>
      </c>
      <c r="AG155" s="10" t="s">
        <v>189</v>
      </c>
      <c r="AH155" s="9">
        <v>44964</v>
      </c>
      <c r="AI155" s="10" t="s">
        <v>189</v>
      </c>
      <c r="AJ155" s="9">
        <v>44964</v>
      </c>
      <c r="AK155" s="5"/>
    </row>
    <row r="156" spans="1:37" ht="27" customHeight="1">
      <c r="A156" s="1">
        <v>153</v>
      </c>
      <c r="B156" s="5"/>
      <c r="C156" s="5"/>
      <c r="D156" s="5"/>
      <c r="E156" s="13" t="s">
        <v>393</v>
      </c>
      <c r="F156" s="14" t="s">
        <v>211</v>
      </c>
      <c r="G156" s="1"/>
      <c r="H156" s="14">
        <v>1</v>
      </c>
      <c r="I156" s="5"/>
      <c r="J156" s="1" t="s">
        <v>30</v>
      </c>
      <c r="K156" s="5"/>
      <c r="L156" s="6"/>
      <c r="M156" s="5"/>
      <c r="N156" s="15">
        <v>44964</v>
      </c>
      <c r="O156" s="8">
        <v>0</v>
      </c>
      <c r="P156" s="9">
        <v>44964</v>
      </c>
      <c r="Q156" s="8">
        <v>0</v>
      </c>
      <c r="R156" s="9">
        <v>44964</v>
      </c>
      <c r="S156" s="8">
        <v>0</v>
      </c>
      <c r="T156" s="9">
        <v>44964</v>
      </c>
      <c r="U156" s="8">
        <v>0</v>
      </c>
      <c r="V156" s="9">
        <v>44964</v>
      </c>
      <c r="W156" s="8">
        <v>0</v>
      </c>
      <c r="X156" s="9">
        <v>44964</v>
      </c>
      <c r="Y156" s="8">
        <v>0</v>
      </c>
      <c r="Z156" s="9">
        <v>44964</v>
      </c>
      <c r="AA156" s="8">
        <v>0</v>
      </c>
      <c r="AB156" s="9">
        <v>44964</v>
      </c>
      <c r="AC156" s="8">
        <v>0</v>
      </c>
      <c r="AD156" s="8">
        <v>0</v>
      </c>
      <c r="AE156" s="8">
        <v>0</v>
      </c>
      <c r="AF156" s="9">
        <v>44964</v>
      </c>
      <c r="AG156" s="10" t="s">
        <v>189</v>
      </c>
      <c r="AH156" s="9">
        <v>44964</v>
      </c>
      <c r="AI156" s="10" t="s">
        <v>189</v>
      </c>
      <c r="AJ156" s="9">
        <v>44964</v>
      </c>
      <c r="AK156" s="5"/>
    </row>
    <row r="157" spans="1:37" ht="27" customHeight="1">
      <c r="A157" s="1">
        <v>154</v>
      </c>
      <c r="B157" s="5"/>
      <c r="C157" s="5"/>
      <c r="D157" s="5"/>
      <c r="E157" s="13" t="s">
        <v>394</v>
      </c>
      <c r="F157" s="14" t="s">
        <v>395</v>
      </c>
      <c r="G157" s="1"/>
      <c r="H157" s="14">
        <v>2</v>
      </c>
      <c r="I157" s="5"/>
      <c r="J157" s="1" t="s">
        <v>30</v>
      </c>
      <c r="K157" s="5"/>
      <c r="L157" s="6"/>
      <c r="M157" s="5"/>
      <c r="N157" s="15">
        <v>44964</v>
      </c>
      <c r="O157" s="8">
        <v>0</v>
      </c>
      <c r="P157" s="9">
        <v>44964</v>
      </c>
      <c r="Q157" s="8">
        <v>0</v>
      </c>
      <c r="R157" s="9">
        <v>44964</v>
      </c>
      <c r="S157" s="8">
        <v>0</v>
      </c>
      <c r="T157" s="9">
        <v>44964</v>
      </c>
      <c r="U157" s="8">
        <v>0</v>
      </c>
      <c r="V157" s="9">
        <v>44964</v>
      </c>
      <c r="W157" s="8">
        <v>0</v>
      </c>
      <c r="X157" s="9">
        <v>44964</v>
      </c>
      <c r="Y157" s="8">
        <v>0</v>
      </c>
      <c r="Z157" s="9">
        <v>44964</v>
      </c>
      <c r="AA157" s="8">
        <v>0</v>
      </c>
      <c r="AB157" s="9">
        <v>44964</v>
      </c>
      <c r="AC157" s="8">
        <v>0</v>
      </c>
      <c r="AD157" s="8">
        <v>0</v>
      </c>
      <c r="AE157" s="8">
        <v>0</v>
      </c>
      <c r="AF157" s="9">
        <v>44964</v>
      </c>
      <c r="AG157" s="10" t="s">
        <v>189</v>
      </c>
      <c r="AH157" s="9">
        <v>44964</v>
      </c>
      <c r="AI157" s="10" t="s">
        <v>189</v>
      </c>
      <c r="AJ157" s="9">
        <v>44964</v>
      </c>
      <c r="AK157" s="5"/>
    </row>
    <row r="158" spans="1:37" ht="27" customHeight="1">
      <c r="A158" s="1">
        <v>155</v>
      </c>
      <c r="B158" s="5"/>
      <c r="C158" s="5"/>
      <c r="D158" s="5"/>
      <c r="E158" s="13" t="s">
        <v>396</v>
      </c>
      <c r="F158" s="14" t="s">
        <v>290</v>
      </c>
      <c r="G158" s="1"/>
      <c r="H158" s="14">
        <v>1</v>
      </c>
      <c r="I158" s="5"/>
      <c r="J158" s="1" t="s">
        <v>31</v>
      </c>
      <c r="K158" s="5"/>
      <c r="L158" s="6"/>
      <c r="M158" s="5"/>
      <c r="N158" s="15">
        <v>44964</v>
      </c>
      <c r="O158" s="8">
        <v>0</v>
      </c>
      <c r="P158" s="9">
        <v>44964</v>
      </c>
      <c r="Q158" s="8">
        <v>0</v>
      </c>
      <c r="R158" s="9">
        <v>44964</v>
      </c>
      <c r="S158" s="8">
        <v>0</v>
      </c>
      <c r="T158" s="9">
        <v>44964</v>
      </c>
      <c r="U158" s="8">
        <v>0</v>
      </c>
      <c r="V158" s="9">
        <v>44964</v>
      </c>
      <c r="W158" s="8">
        <v>0</v>
      </c>
      <c r="X158" s="9">
        <v>44964</v>
      </c>
      <c r="Y158" s="8">
        <v>0</v>
      </c>
      <c r="Z158" s="9">
        <v>44964</v>
      </c>
      <c r="AA158" s="8">
        <v>0</v>
      </c>
      <c r="AB158" s="9">
        <v>44964</v>
      </c>
      <c r="AC158" s="8">
        <v>0</v>
      </c>
      <c r="AD158" s="8">
        <v>0</v>
      </c>
      <c r="AE158" s="8">
        <v>0</v>
      </c>
      <c r="AF158" s="9">
        <v>44964</v>
      </c>
      <c r="AG158" s="10" t="s">
        <v>189</v>
      </c>
      <c r="AH158" s="9">
        <v>44964</v>
      </c>
      <c r="AI158" s="10" t="s">
        <v>189</v>
      </c>
      <c r="AJ158" s="9">
        <v>44964</v>
      </c>
      <c r="AK158" s="5"/>
    </row>
    <row r="159" spans="1:37" ht="27" customHeight="1">
      <c r="A159" s="1">
        <v>156</v>
      </c>
      <c r="B159" s="5"/>
      <c r="C159" s="5"/>
      <c r="D159" s="5"/>
      <c r="E159" s="13" t="s">
        <v>397</v>
      </c>
      <c r="F159" s="14" t="s">
        <v>292</v>
      </c>
      <c r="G159" s="1"/>
      <c r="H159" s="14">
        <v>1</v>
      </c>
      <c r="I159" s="5"/>
      <c r="J159" s="1"/>
      <c r="K159" s="5"/>
      <c r="L159" s="6"/>
      <c r="M159" s="5"/>
      <c r="N159" s="15">
        <v>44964</v>
      </c>
      <c r="O159" s="8">
        <v>0</v>
      </c>
      <c r="P159" s="9">
        <v>44964</v>
      </c>
      <c r="Q159" s="8">
        <v>0</v>
      </c>
      <c r="R159" s="9">
        <v>44964</v>
      </c>
      <c r="S159" s="8">
        <v>0</v>
      </c>
      <c r="T159" s="9">
        <v>44964</v>
      </c>
      <c r="U159" s="8">
        <v>0</v>
      </c>
      <c r="V159" s="9">
        <v>44964</v>
      </c>
      <c r="W159" s="8">
        <v>0</v>
      </c>
      <c r="X159" s="9">
        <v>44964</v>
      </c>
      <c r="Y159" s="8">
        <v>0</v>
      </c>
      <c r="Z159" s="9">
        <v>44964</v>
      </c>
      <c r="AA159" s="8">
        <v>0</v>
      </c>
      <c r="AB159" s="9">
        <v>44964</v>
      </c>
      <c r="AC159" s="8">
        <v>0</v>
      </c>
      <c r="AD159" s="8">
        <v>0</v>
      </c>
      <c r="AE159" s="8">
        <v>0</v>
      </c>
      <c r="AF159" s="9">
        <v>44964</v>
      </c>
      <c r="AG159" s="10" t="s">
        <v>189</v>
      </c>
      <c r="AH159" s="9">
        <v>44964</v>
      </c>
      <c r="AI159" s="10" t="s">
        <v>189</v>
      </c>
      <c r="AJ159" s="9">
        <v>44964</v>
      </c>
      <c r="AK159" s="5"/>
    </row>
    <row r="160" spans="1:37" ht="27" customHeight="1">
      <c r="A160" s="1">
        <v>157</v>
      </c>
      <c r="B160" s="5"/>
      <c r="C160" s="5"/>
      <c r="D160" s="5"/>
      <c r="E160" s="13"/>
      <c r="F160" s="14" t="s">
        <v>208</v>
      </c>
      <c r="G160" s="1"/>
      <c r="H160" s="14">
        <v>1</v>
      </c>
      <c r="I160" s="5"/>
      <c r="J160" s="1"/>
      <c r="K160" s="5"/>
      <c r="L160" s="6"/>
      <c r="M160" s="5"/>
      <c r="N160" s="15">
        <v>44964</v>
      </c>
      <c r="O160" s="8">
        <v>0</v>
      </c>
      <c r="P160" s="9">
        <v>44964</v>
      </c>
      <c r="Q160" s="8">
        <v>0</v>
      </c>
      <c r="R160" s="9">
        <v>44964</v>
      </c>
      <c r="S160" s="8">
        <v>0</v>
      </c>
      <c r="T160" s="9">
        <v>44964</v>
      </c>
      <c r="U160" s="8">
        <v>0</v>
      </c>
      <c r="V160" s="9">
        <v>44964</v>
      </c>
      <c r="W160" s="8">
        <v>0</v>
      </c>
      <c r="X160" s="9">
        <v>44964</v>
      </c>
      <c r="Y160" s="8">
        <v>0</v>
      </c>
      <c r="Z160" s="9">
        <v>44964</v>
      </c>
      <c r="AA160" s="8">
        <v>0</v>
      </c>
      <c r="AB160" s="9">
        <v>44964</v>
      </c>
      <c r="AC160" s="8">
        <v>0</v>
      </c>
      <c r="AD160" s="8">
        <v>0</v>
      </c>
      <c r="AE160" s="8">
        <v>0</v>
      </c>
      <c r="AF160" s="9">
        <v>44964</v>
      </c>
      <c r="AG160" s="10" t="s">
        <v>189</v>
      </c>
      <c r="AH160" s="9">
        <v>44964</v>
      </c>
      <c r="AI160" s="10" t="s">
        <v>189</v>
      </c>
      <c r="AJ160" s="9">
        <v>44964</v>
      </c>
      <c r="AK160" s="5"/>
    </row>
  </sheetData>
  <autoFilter ref="A3:AK160" xr:uid="{00000000-0009-0000-0000-000005000000}"/>
  <mergeCells count="38">
    <mergeCell ref="AJ2:AJ3"/>
    <mergeCell ref="AK2:AK3"/>
    <mergeCell ref="AE2:AE3"/>
    <mergeCell ref="AF2:AF3"/>
    <mergeCell ref="AG2:AG3"/>
    <mergeCell ref="AH2:AH3"/>
    <mergeCell ref="AI2:AI3"/>
    <mergeCell ref="Z2:Z3"/>
    <mergeCell ref="AA2:AA3"/>
    <mergeCell ref="AB2:AB3"/>
    <mergeCell ref="AC2:AC3"/>
    <mergeCell ref="AD2:AD3"/>
    <mergeCell ref="U2:U3"/>
    <mergeCell ref="V2:V3"/>
    <mergeCell ref="W2:W3"/>
    <mergeCell ref="X2:X3"/>
    <mergeCell ref="Y2:Y3"/>
    <mergeCell ref="P2:P3"/>
    <mergeCell ref="Q2:Q3"/>
    <mergeCell ref="R2:R3"/>
    <mergeCell ref="S2:S3"/>
    <mergeCell ref="T2:T3"/>
    <mergeCell ref="A1:AK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honeticPr fontId="63" type="noConversion"/>
  <conditionalFormatting sqref="L4:L15">
    <cfRule type="dataBar" priority="64">
      <dataBar>
        <cfvo type="num" val="0"/>
        <cfvo type="num" val="1"/>
        <color rgb="FF00B0F0"/>
      </dataBar>
      <extLst>
        <ext xmlns:x14="http://schemas.microsoft.com/office/spreadsheetml/2009/9/main" uri="{B025F937-C7B1-47D3-B67F-A62EFF666E3E}">
          <x14:id>{1F7FC354-3AC8-411D-9B0F-46009F9A490B}</x14:id>
        </ext>
      </extLst>
    </cfRule>
  </conditionalFormatting>
  <conditionalFormatting sqref="L16:L160">
    <cfRule type="dataBar" priority="31">
      <dataBar>
        <cfvo type="num" val="0"/>
        <cfvo type="num" val="1"/>
        <color rgb="FF00B0F0"/>
      </dataBar>
      <extLst>
        <ext xmlns:x14="http://schemas.microsoft.com/office/spreadsheetml/2009/9/main" uri="{B025F937-C7B1-47D3-B67F-A62EFF666E3E}">
          <x14:id>{59017B6B-9A5B-472E-AD20-EF56035E2E7C}</x14:id>
        </ext>
      </extLst>
    </cfRule>
  </conditionalFormatting>
  <conditionalFormatting sqref="O5">
    <cfRule type="dataBar" priority="12">
      <dataBar>
        <cfvo type="num" val="0"/>
        <cfvo type="num" val="1"/>
        <color rgb="FF00B050"/>
      </dataBar>
      <extLst>
        <ext xmlns:x14="http://schemas.microsoft.com/office/spreadsheetml/2009/9/main" uri="{B025F937-C7B1-47D3-B67F-A62EFF666E3E}">
          <x14:id>{09538264-FB77-451D-B784-3EE72B63D650}</x14:id>
        </ext>
      </extLst>
    </cfRule>
  </conditionalFormatting>
  <conditionalFormatting sqref="O11">
    <cfRule type="dataBar" priority="11">
      <dataBar>
        <cfvo type="num" val="0"/>
        <cfvo type="num" val="1"/>
        <color rgb="FF00B050"/>
      </dataBar>
      <extLst>
        <ext xmlns:x14="http://schemas.microsoft.com/office/spreadsheetml/2009/9/main" uri="{B025F937-C7B1-47D3-B67F-A62EFF666E3E}">
          <x14:id>{33C3CA34-6A5C-4743-93A4-6B1B108848DA}</x14:id>
        </ext>
      </extLst>
    </cfRule>
  </conditionalFormatting>
  <conditionalFormatting sqref="O16">
    <cfRule type="dataBar" priority="10">
      <dataBar>
        <cfvo type="num" val="0"/>
        <cfvo type="num" val="1"/>
        <color rgb="FF00B050"/>
      </dataBar>
      <extLst>
        <ext xmlns:x14="http://schemas.microsoft.com/office/spreadsheetml/2009/9/main" uri="{B025F937-C7B1-47D3-B67F-A62EFF666E3E}">
          <x14:id>{40E29152-1457-4548-A6EC-BD49E14C5DF1}</x14:id>
        </ext>
      </extLst>
    </cfRule>
  </conditionalFormatting>
  <conditionalFormatting sqref="O29">
    <cfRule type="dataBar" priority="19">
      <dataBar>
        <cfvo type="num" val="0"/>
        <cfvo type="num" val="1"/>
        <color rgb="FF00B050"/>
      </dataBar>
      <extLst>
        <ext xmlns:x14="http://schemas.microsoft.com/office/spreadsheetml/2009/9/main" uri="{B025F937-C7B1-47D3-B67F-A62EFF666E3E}">
          <x14:id>{0CFCAFD0-9255-4F1B-A716-B348079A8130}</x14:id>
        </ext>
      </extLst>
    </cfRule>
  </conditionalFormatting>
  <conditionalFormatting sqref="O55 O42 O81 O107 O120 O133 O146 O159">
    <cfRule type="dataBar" priority="30">
      <dataBar>
        <cfvo type="num" val="0"/>
        <cfvo type="num" val="1"/>
        <color rgb="FF00B050"/>
      </dataBar>
      <extLst>
        <ext xmlns:x14="http://schemas.microsoft.com/office/spreadsheetml/2009/9/main" uri="{B025F937-C7B1-47D3-B67F-A62EFF666E3E}">
          <x14:id>{506279A7-D22B-4321-8632-3E06D70A69F7}</x14:id>
        </ext>
      </extLst>
    </cfRule>
  </conditionalFormatting>
  <conditionalFormatting sqref="O68">
    <cfRule type="dataBar" priority="20">
      <dataBar>
        <cfvo type="num" val="0"/>
        <cfvo type="num" val="1"/>
        <color rgb="FF00B050"/>
      </dataBar>
      <extLst>
        <ext xmlns:x14="http://schemas.microsoft.com/office/spreadsheetml/2009/9/main" uri="{B025F937-C7B1-47D3-B67F-A62EFF666E3E}">
          <x14:id>{7A6B57A8-7C73-4363-B421-5B8DFDAF6A29}</x14:id>
        </ext>
      </extLst>
    </cfRule>
  </conditionalFormatting>
  <conditionalFormatting sqref="O72">
    <cfRule type="dataBar" priority="9">
      <dataBar>
        <cfvo type="num" val="0"/>
        <cfvo type="num" val="1"/>
        <color rgb="FF00B050"/>
      </dataBar>
      <extLst>
        <ext xmlns:x14="http://schemas.microsoft.com/office/spreadsheetml/2009/9/main" uri="{B025F937-C7B1-47D3-B67F-A62EFF666E3E}">
          <x14:id>{9914A78D-0172-4005-BD96-EC69315C29B1}</x14:id>
        </ext>
      </extLst>
    </cfRule>
  </conditionalFormatting>
  <conditionalFormatting sqref="O73">
    <cfRule type="dataBar" priority="8">
      <dataBar>
        <cfvo type="num" val="0"/>
        <cfvo type="num" val="1"/>
        <color rgb="FF00B050"/>
      </dataBar>
      <extLst>
        <ext xmlns:x14="http://schemas.microsoft.com/office/spreadsheetml/2009/9/main" uri="{B025F937-C7B1-47D3-B67F-A62EFF666E3E}">
          <x14:id>{79B0311F-0242-49C5-9788-D0F4EAE035EE}</x14:id>
        </ext>
      </extLst>
    </cfRule>
  </conditionalFormatting>
  <conditionalFormatting sqref="O78">
    <cfRule type="dataBar" priority="4">
      <dataBar>
        <cfvo type="num" val="0"/>
        <cfvo type="num" val="1"/>
        <color rgb="FF00B050"/>
      </dataBar>
      <extLst>
        <ext xmlns:x14="http://schemas.microsoft.com/office/spreadsheetml/2009/9/main" uri="{B025F937-C7B1-47D3-B67F-A62EFF666E3E}">
          <x14:id>{F2A9098F-D47A-431B-885C-D1AA7D4BAAC8}</x14:id>
        </ext>
      </extLst>
    </cfRule>
  </conditionalFormatting>
  <conditionalFormatting sqref="O79">
    <cfRule type="dataBar" priority="3">
      <dataBar>
        <cfvo type="num" val="0"/>
        <cfvo type="num" val="1"/>
        <color rgb="FF00B050"/>
      </dataBar>
      <extLst>
        <ext xmlns:x14="http://schemas.microsoft.com/office/spreadsheetml/2009/9/main" uri="{B025F937-C7B1-47D3-B67F-A62EFF666E3E}">
          <x14:id>{A820AA3C-CE78-4DB0-A746-32EA9AD6B460}</x14:id>
        </ext>
      </extLst>
    </cfRule>
  </conditionalFormatting>
  <conditionalFormatting sqref="O82:O85 O4 O95:O98 O108:O117 O121:O122 O134:O145 O147:O148 O160 O56:O67 O69:O71 O30:O41 O43:O54 O17:O28 O124:O128 O106 O130:O132 O150:O152 O155:O158 O6:O10 O12:O15 O74:O77 O100:O104 O119 O80 O88:O93">
    <cfRule type="dataBar" priority="63">
      <dataBar>
        <cfvo type="num" val="0"/>
        <cfvo type="num" val="1"/>
        <color rgb="FF00B050"/>
      </dataBar>
      <extLst>
        <ext xmlns:x14="http://schemas.microsoft.com/office/spreadsheetml/2009/9/main" uri="{B025F937-C7B1-47D3-B67F-A62EFF666E3E}">
          <x14:id>{387062B3-EAED-4F63-949A-C4E32E953901}</x14:id>
        </ext>
      </extLst>
    </cfRule>
  </conditionalFormatting>
  <conditionalFormatting sqref="O86">
    <cfRule type="dataBar" priority="2">
      <dataBar>
        <cfvo type="num" val="0"/>
        <cfvo type="num" val="1"/>
        <color rgb="FF00B050"/>
      </dataBar>
      <extLst>
        <ext xmlns:x14="http://schemas.microsoft.com/office/spreadsheetml/2009/9/main" uri="{B025F937-C7B1-47D3-B67F-A62EFF666E3E}">
          <x14:id>{87565B2F-9E08-4471-B41D-D02A43D0660E}</x14:id>
        </ext>
      </extLst>
    </cfRule>
  </conditionalFormatting>
  <conditionalFormatting sqref="O87">
    <cfRule type="dataBar" priority="1">
      <dataBar>
        <cfvo type="num" val="0"/>
        <cfvo type="num" val="1"/>
        <color rgb="FF00B050"/>
      </dataBar>
      <extLst>
        <ext xmlns:x14="http://schemas.microsoft.com/office/spreadsheetml/2009/9/main" uri="{B025F937-C7B1-47D3-B67F-A62EFF666E3E}">
          <x14:id>{BCD7A14C-17F4-428E-9793-C7A51BFD2BBB}</x14:id>
        </ext>
      </extLst>
    </cfRule>
  </conditionalFormatting>
  <conditionalFormatting sqref="O94">
    <cfRule type="dataBar" priority="18">
      <dataBar>
        <cfvo type="num" val="0"/>
        <cfvo type="num" val="1"/>
        <color rgb="FF00B050"/>
      </dataBar>
      <extLst>
        <ext xmlns:x14="http://schemas.microsoft.com/office/spreadsheetml/2009/9/main" uri="{B025F937-C7B1-47D3-B67F-A62EFF666E3E}">
          <x14:id>{13750263-A11A-4F3B-B175-BBBDC7A008C1}</x14:id>
        </ext>
      </extLst>
    </cfRule>
  </conditionalFormatting>
  <conditionalFormatting sqref="O99">
    <cfRule type="dataBar" priority="7">
      <dataBar>
        <cfvo type="num" val="0"/>
        <cfvo type="num" val="1"/>
        <color rgb="FF00B050"/>
      </dataBar>
      <extLst>
        <ext xmlns:x14="http://schemas.microsoft.com/office/spreadsheetml/2009/9/main" uri="{B025F937-C7B1-47D3-B67F-A62EFF666E3E}">
          <x14:id>{1D5BB2E2-C99D-489C-9DA1-16277218146D}</x14:id>
        </ext>
      </extLst>
    </cfRule>
  </conditionalFormatting>
  <conditionalFormatting sqref="O105">
    <cfRule type="dataBar" priority="16">
      <dataBar>
        <cfvo type="num" val="0"/>
        <cfvo type="num" val="1"/>
        <color rgb="FF00B050"/>
      </dataBar>
      <extLst>
        <ext xmlns:x14="http://schemas.microsoft.com/office/spreadsheetml/2009/9/main" uri="{B025F937-C7B1-47D3-B67F-A62EFF666E3E}">
          <x14:id>{047C8CBE-094D-438C-BA8A-1AC75B7120B9}</x14:id>
        </ext>
      </extLst>
    </cfRule>
  </conditionalFormatting>
  <conditionalFormatting sqref="O118">
    <cfRule type="dataBar" priority="6">
      <dataBar>
        <cfvo type="num" val="0"/>
        <cfvo type="num" val="1"/>
        <color rgb="FF00B050"/>
      </dataBar>
      <extLst>
        <ext xmlns:x14="http://schemas.microsoft.com/office/spreadsheetml/2009/9/main" uri="{B025F937-C7B1-47D3-B67F-A62EFF666E3E}">
          <x14:id>{FA7B319E-6B2F-42F3-A4EA-97C2D55FDD23}</x14:id>
        </ext>
      </extLst>
    </cfRule>
  </conditionalFormatting>
  <conditionalFormatting sqref="O123">
    <cfRule type="dataBar" priority="17">
      <dataBar>
        <cfvo type="num" val="0"/>
        <cfvo type="num" val="1"/>
        <color rgb="FF00B050"/>
      </dataBar>
      <extLst>
        <ext xmlns:x14="http://schemas.microsoft.com/office/spreadsheetml/2009/9/main" uri="{B025F937-C7B1-47D3-B67F-A62EFF666E3E}">
          <x14:id>{C59E49D9-CF12-472E-A242-DD5B055A4C01}</x14:id>
        </ext>
      </extLst>
    </cfRule>
  </conditionalFormatting>
  <conditionalFormatting sqref="O129">
    <cfRule type="dataBar" priority="15">
      <dataBar>
        <cfvo type="num" val="0"/>
        <cfvo type="num" val="1"/>
        <color rgb="FF00B050"/>
      </dataBar>
      <extLst>
        <ext xmlns:x14="http://schemas.microsoft.com/office/spreadsheetml/2009/9/main" uri="{B025F937-C7B1-47D3-B67F-A62EFF666E3E}">
          <x14:id>{380218C0-EDD4-4EB3-913B-EB85173E250E}</x14:id>
        </ext>
      </extLst>
    </cfRule>
  </conditionalFormatting>
  <conditionalFormatting sqref="O149">
    <cfRule type="dataBar" priority="14">
      <dataBar>
        <cfvo type="num" val="0"/>
        <cfvo type="num" val="1"/>
        <color rgb="FF00B050"/>
      </dataBar>
      <extLst>
        <ext xmlns:x14="http://schemas.microsoft.com/office/spreadsheetml/2009/9/main" uri="{B025F937-C7B1-47D3-B67F-A62EFF666E3E}">
          <x14:id>{9EAF51D0-A014-4169-99E1-65CF4D4BD8C0}</x14:id>
        </ext>
      </extLst>
    </cfRule>
  </conditionalFormatting>
  <conditionalFormatting sqref="O153">
    <cfRule type="dataBar" priority="13">
      <dataBar>
        <cfvo type="num" val="0"/>
        <cfvo type="num" val="1"/>
        <color rgb="FF00B050"/>
      </dataBar>
      <extLst>
        <ext xmlns:x14="http://schemas.microsoft.com/office/spreadsheetml/2009/9/main" uri="{B025F937-C7B1-47D3-B67F-A62EFF666E3E}">
          <x14:id>{D896D190-266B-4B61-AFAD-764F1E888968}</x14:id>
        </ext>
      </extLst>
    </cfRule>
  </conditionalFormatting>
  <conditionalFormatting sqref="O154">
    <cfRule type="dataBar" priority="5">
      <dataBar>
        <cfvo type="num" val="0"/>
        <cfvo type="num" val="1"/>
        <color rgb="FF00B050"/>
      </dataBar>
      <extLst>
        <ext xmlns:x14="http://schemas.microsoft.com/office/spreadsheetml/2009/9/main" uri="{B025F937-C7B1-47D3-B67F-A62EFF666E3E}">
          <x14:id>{48110103-3B16-46D9-8F62-361D53BE1342}</x14:id>
        </ext>
      </extLst>
    </cfRule>
  </conditionalFormatting>
  <conditionalFormatting sqref="Q4:Q15 Q17:Q28 Q30:Q41 Q43:Q54 Q56:Q67 Q69:Q80 Q82:Q93 Q95:Q106 Q108:Q119 Q121:Q132 Q134:Q145 Q147:Q158 Q160">
    <cfRule type="dataBar" priority="40">
      <dataBar>
        <cfvo type="num" val="0"/>
        <cfvo type="num" val="1"/>
        <color rgb="FF00B050"/>
      </dataBar>
      <extLst>
        <ext xmlns:x14="http://schemas.microsoft.com/office/spreadsheetml/2009/9/main" uri="{B025F937-C7B1-47D3-B67F-A62EFF666E3E}">
          <x14:id>{A963F86B-94D4-41CB-882C-2EE523556F95}</x14:id>
        </ext>
      </extLst>
    </cfRule>
  </conditionalFormatting>
  <conditionalFormatting sqref="Q16 Q29 Q42 Q55 Q68 Q81 Q94 Q107 Q120 Q133 Q146 Q159">
    <cfRule type="dataBar" priority="29">
      <dataBar>
        <cfvo type="num" val="0"/>
        <cfvo type="num" val="1"/>
        <color rgb="FF00B050"/>
      </dataBar>
      <extLst>
        <ext xmlns:x14="http://schemas.microsoft.com/office/spreadsheetml/2009/9/main" uri="{B025F937-C7B1-47D3-B67F-A62EFF666E3E}">
          <x14:id>{9F34BC8A-B992-4668-8DE8-5EB9C6319E7A}</x14:id>
        </ext>
      </extLst>
    </cfRule>
  </conditionalFormatting>
  <conditionalFormatting sqref="S4:S15 S17:S28 S30:S41 S43:S54 S56:S67 S69:S80 S82:S93 S95:S106 S108:S119 S121:S132 S134:S145 S147:S158 S160">
    <cfRule type="dataBar" priority="39">
      <dataBar>
        <cfvo type="num" val="0"/>
        <cfvo type="num" val="1"/>
        <color rgb="FF00B050"/>
      </dataBar>
      <extLst>
        <ext xmlns:x14="http://schemas.microsoft.com/office/spreadsheetml/2009/9/main" uri="{B025F937-C7B1-47D3-B67F-A62EFF666E3E}">
          <x14:id>{C5E06282-AE78-4EC4-8C79-1F15A28D736C}</x14:id>
        </ext>
      </extLst>
    </cfRule>
  </conditionalFormatting>
  <conditionalFormatting sqref="S16 S29 S42 S55 S68 S81 S94 S107 S120 S133 S146 S159">
    <cfRule type="dataBar" priority="28">
      <dataBar>
        <cfvo type="num" val="0"/>
        <cfvo type="num" val="1"/>
        <color rgb="FF00B050"/>
      </dataBar>
      <extLst>
        <ext xmlns:x14="http://schemas.microsoft.com/office/spreadsheetml/2009/9/main" uri="{B025F937-C7B1-47D3-B67F-A62EFF666E3E}">
          <x14:id>{98AB3334-1C2A-4BED-B3E5-E4BB7E8AF666}</x14:id>
        </ext>
      </extLst>
    </cfRule>
  </conditionalFormatting>
  <conditionalFormatting sqref="U4:U15 U17:U28 U30:U41 U43:U54 U56:U67 U69:U80 U82:U93 U95:U106 U108:U119 U121:U132 U134:U145 U147:U158 U160">
    <cfRule type="dataBar" priority="38">
      <dataBar>
        <cfvo type="num" val="0"/>
        <cfvo type="num" val="1"/>
        <color rgb="FF00B050"/>
      </dataBar>
      <extLst>
        <ext xmlns:x14="http://schemas.microsoft.com/office/spreadsheetml/2009/9/main" uri="{B025F937-C7B1-47D3-B67F-A62EFF666E3E}">
          <x14:id>{97199F96-389C-4DBD-9627-4393E89254AC}</x14:id>
        </ext>
      </extLst>
    </cfRule>
  </conditionalFormatting>
  <conditionalFormatting sqref="U29 U16 U42 U55 U68 U81 U94 U107 U120 U133 U146 U159">
    <cfRule type="dataBar" priority="27">
      <dataBar>
        <cfvo type="num" val="0"/>
        <cfvo type="num" val="1"/>
        <color rgb="FF00B050"/>
      </dataBar>
      <extLst>
        <ext xmlns:x14="http://schemas.microsoft.com/office/spreadsheetml/2009/9/main" uri="{B025F937-C7B1-47D3-B67F-A62EFF666E3E}">
          <x14:id>{41374BFC-FA4B-473D-B91F-32C0C30D82B8}</x14:id>
        </ext>
      </extLst>
    </cfRule>
  </conditionalFormatting>
  <conditionalFormatting sqref="W4:W15 W17:W28 W30:W41 W43:W54 W56:W67 W69:W80 W82:W93 W95:W106 W108:W119 W121:W132 W134:W145 W147:W158 W160">
    <cfRule type="dataBar" priority="37">
      <dataBar>
        <cfvo type="num" val="0"/>
        <cfvo type="num" val="1"/>
        <color rgb="FF00B050"/>
      </dataBar>
      <extLst>
        <ext xmlns:x14="http://schemas.microsoft.com/office/spreadsheetml/2009/9/main" uri="{B025F937-C7B1-47D3-B67F-A62EFF666E3E}">
          <x14:id>{0153A3FB-94BE-48FC-8355-5E85F148EF82}</x14:id>
        </ext>
      </extLst>
    </cfRule>
  </conditionalFormatting>
  <conditionalFormatting sqref="W29 W16 W42 W55 W68 W81 W94 W107 W120 W133 W146 W159">
    <cfRule type="dataBar" priority="26">
      <dataBar>
        <cfvo type="num" val="0"/>
        <cfvo type="num" val="1"/>
        <color rgb="FF00B050"/>
      </dataBar>
      <extLst>
        <ext xmlns:x14="http://schemas.microsoft.com/office/spreadsheetml/2009/9/main" uri="{B025F937-C7B1-47D3-B67F-A62EFF666E3E}">
          <x14:id>{7ACC79AE-72A8-41E2-8A9D-AE36342A1DD1}</x14:id>
        </ext>
      </extLst>
    </cfRule>
  </conditionalFormatting>
  <conditionalFormatting sqref="Y4:Y15 Y17:Y28 Y30:Y41 Y43:Y54 Y56:Y67 Y69:Y80 Y82:Y93 Y95:Y106 Y108:Y119 Y121:Y132 Y134:Y145 Y147:Y158 Y160">
    <cfRule type="dataBar" priority="36">
      <dataBar>
        <cfvo type="num" val="0"/>
        <cfvo type="num" val="1"/>
        <color rgb="FF00B050"/>
      </dataBar>
      <extLst>
        <ext xmlns:x14="http://schemas.microsoft.com/office/spreadsheetml/2009/9/main" uri="{B025F937-C7B1-47D3-B67F-A62EFF666E3E}">
          <x14:id>{9DEC1B00-02FB-48E5-9B49-4D342E927F97}</x14:id>
        </ext>
      </extLst>
    </cfRule>
  </conditionalFormatting>
  <conditionalFormatting sqref="Y29 Y16 Y42 Y55 Y68 Y81 Y94 Y107 Y120 Y133 Y146 Y159">
    <cfRule type="dataBar" priority="25">
      <dataBar>
        <cfvo type="num" val="0"/>
        <cfvo type="num" val="1"/>
        <color rgb="FF00B050"/>
      </dataBar>
      <extLst>
        <ext xmlns:x14="http://schemas.microsoft.com/office/spreadsheetml/2009/9/main" uri="{B025F937-C7B1-47D3-B67F-A62EFF666E3E}">
          <x14:id>{AF3D2A11-D8AD-41E8-98AD-500FF8BC32BC}</x14:id>
        </ext>
      </extLst>
    </cfRule>
  </conditionalFormatting>
  <conditionalFormatting sqref="AA4:AA15 AA17:AA28 AA30:AA41 AA43:AA54 AA56:AA67 AA69:AA80 AA82:AA93 AA95:AA106 AA108:AA119 AA121:AA132 AA134:AA145 AA147:AA158 AA160">
    <cfRule type="dataBar" priority="35">
      <dataBar>
        <cfvo type="num" val="0"/>
        <cfvo type="num" val="1"/>
        <color rgb="FF00B050"/>
      </dataBar>
      <extLst>
        <ext xmlns:x14="http://schemas.microsoft.com/office/spreadsheetml/2009/9/main" uri="{B025F937-C7B1-47D3-B67F-A62EFF666E3E}">
          <x14:id>{9BC4AD8B-D4F9-4E71-A6BF-38E0789DB7CC}</x14:id>
        </ext>
      </extLst>
    </cfRule>
  </conditionalFormatting>
  <conditionalFormatting sqref="AA16 AA29 AA42 AA55 AA68 AA81 AA94 AA107 AA120 AA133 AA146 AA159">
    <cfRule type="dataBar" priority="24">
      <dataBar>
        <cfvo type="num" val="0"/>
        <cfvo type="num" val="1"/>
        <color rgb="FF00B050"/>
      </dataBar>
      <extLst>
        <ext xmlns:x14="http://schemas.microsoft.com/office/spreadsheetml/2009/9/main" uri="{B025F937-C7B1-47D3-B67F-A62EFF666E3E}">
          <x14:id>{8ABCDDCC-5439-4378-90B4-C8E1048E0F6B}</x14:id>
        </ext>
      </extLst>
    </cfRule>
  </conditionalFormatting>
  <conditionalFormatting sqref="AC4:AC15 AC17:AC28 AC30:AC41 AC43:AC54 AC56:AC67 AC69:AC80 AC82:AC93 AC95:AC106 AC108:AC119 AC121:AC132 AC134:AC145 AC147:AC158 AC160">
    <cfRule type="dataBar" priority="34">
      <dataBar>
        <cfvo type="num" val="0"/>
        <cfvo type="num" val="1"/>
        <color rgb="FF00B050"/>
      </dataBar>
      <extLst>
        <ext xmlns:x14="http://schemas.microsoft.com/office/spreadsheetml/2009/9/main" uri="{B025F937-C7B1-47D3-B67F-A62EFF666E3E}">
          <x14:id>{C5A02C87-78D8-4003-B98A-315AA7011561}</x14:id>
        </ext>
      </extLst>
    </cfRule>
  </conditionalFormatting>
  <conditionalFormatting sqref="AC16 AC29 AC42 AC55 AC68 AC81 AC94 AC107 AC120 AC133 AC146 AC159">
    <cfRule type="dataBar" priority="23">
      <dataBar>
        <cfvo type="num" val="0"/>
        <cfvo type="num" val="1"/>
        <color rgb="FF00B050"/>
      </dataBar>
      <extLst>
        <ext xmlns:x14="http://schemas.microsoft.com/office/spreadsheetml/2009/9/main" uri="{B025F937-C7B1-47D3-B67F-A62EFF666E3E}">
          <x14:id>{D3404742-CBC7-4EC5-8B65-EE4EC2081ABF}</x14:id>
        </ext>
      </extLst>
    </cfRule>
  </conditionalFormatting>
  <conditionalFormatting sqref="AD4:AD15 AD17:AD28 AD30:AD41 AD43:AD54 AD56:AD67 AD69:AD80 AD82:AD93 AD95:AD106 AD108:AD119 AD121:AD132 AD134:AD145 AD147:AD158 AD160">
    <cfRule type="dataBar" priority="33">
      <dataBar>
        <cfvo type="num" val="0"/>
        <cfvo type="num" val="1"/>
        <color rgb="FF00B050"/>
      </dataBar>
      <extLst>
        <ext xmlns:x14="http://schemas.microsoft.com/office/spreadsheetml/2009/9/main" uri="{B025F937-C7B1-47D3-B67F-A62EFF666E3E}">
          <x14:id>{25456023-802E-44B6-85DD-6692D09E1009}</x14:id>
        </ext>
      </extLst>
    </cfRule>
  </conditionalFormatting>
  <conditionalFormatting sqref="AD16 AD29 AD42 AD55 AD68 AD81 AD94 AD107 AD120 AD133 AD146 AD159">
    <cfRule type="dataBar" priority="22">
      <dataBar>
        <cfvo type="num" val="0"/>
        <cfvo type="num" val="1"/>
        <color rgb="FF00B050"/>
      </dataBar>
      <extLst>
        <ext xmlns:x14="http://schemas.microsoft.com/office/spreadsheetml/2009/9/main" uri="{B025F937-C7B1-47D3-B67F-A62EFF666E3E}">
          <x14:id>{2AD7125D-E7C3-4DF2-9E35-F3916152D26F}</x14:id>
        </ext>
      </extLst>
    </cfRule>
  </conditionalFormatting>
  <conditionalFormatting sqref="AE4:AE15 AE17:AE28 AE30:AE41 AE43:AE54 AE56:AE67 AE69:AE80 AE82:AE93 AE95:AE106 AE108:AE119 AE121:AE132 AE134:AE145 AE147:AE158 AE160">
    <cfRule type="dataBar" priority="32">
      <dataBar>
        <cfvo type="num" val="0"/>
        <cfvo type="num" val="1"/>
        <color rgb="FF00B050"/>
      </dataBar>
      <extLst>
        <ext xmlns:x14="http://schemas.microsoft.com/office/spreadsheetml/2009/9/main" uri="{B025F937-C7B1-47D3-B67F-A62EFF666E3E}">
          <x14:id>{2D4F6FC9-1802-425B-814F-8ACACF711BE9}</x14:id>
        </ext>
      </extLst>
    </cfRule>
  </conditionalFormatting>
  <conditionalFormatting sqref="AE16 AE29 AE42 AE55 AE68 AE81 AE94 AE107 AE120 AE133 AE146 AE159">
    <cfRule type="dataBar" priority="21">
      <dataBar>
        <cfvo type="num" val="0"/>
        <cfvo type="num" val="1"/>
        <color rgb="FF00B050"/>
      </dataBar>
      <extLst>
        <ext xmlns:x14="http://schemas.microsoft.com/office/spreadsheetml/2009/9/main" uri="{B025F937-C7B1-47D3-B67F-A62EFF666E3E}">
          <x14:id>{6AB40203-716E-4C57-912A-5C0A8E2059A7}</x14:id>
        </ext>
      </extLst>
    </cfRule>
  </conditionalFormatting>
  <pageMargins left="0.69930555555555596" right="0.69930555555555596"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1F7FC354-3AC8-411D-9B0F-46009F9A490B}">
            <x14:dataBar minLength="0" maxLength="100" negativeBarColorSameAsPositive="1" axisPosition="none">
              <x14:cfvo type="num">
                <xm:f>0</xm:f>
              </x14:cfvo>
              <x14:cfvo type="num">
                <xm:f>1</xm:f>
              </x14:cfvo>
            </x14:dataBar>
          </x14:cfRule>
          <xm:sqref>L4:L15</xm:sqref>
        </x14:conditionalFormatting>
        <x14:conditionalFormatting xmlns:xm="http://schemas.microsoft.com/office/excel/2006/main">
          <x14:cfRule type="dataBar" id="{59017B6B-9A5B-472E-AD20-EF56035E2E7C}">
            <x14:dataBar minLength="0" maxLength="100" negativeBarColorSameAsPositive="1" axisPosition="none">
              <x14:cfvo type="num">
                <xm:f>0</xm:f>
              </x14:cfvo>
              <x14:cfvo type="num">
                <xm:f>1</xm:f>
              </x14:cfvo>
            </x14:dataBar>
          </x14:cfRule>
          <xm:sqref>L16:L160</xm:sqref>
        </x14:conditionalFormatting>
        <x14:conditionalFormatting xmlns:xm="http://schemas.microsoft.com/office/excel/2006/main">
          <x14:cfRule type="dataBar" id="{09538264-FB77-451D-B784-3EE72B63D650}">
            <x14:dataBar minLength="0" maxLength="100" negativeBarColorSameAsPositive="1" axisPosition="none">
              <x14:cfvo type="num">
                <xm:f>0</xm:f>
              </x14:cfvo>
              <x14:cfvo type="num">
                <xm:f>1</xm:f>
              </x14:cfvo>
            </x14:dataBar>
          </x14:cfRule>
          <xm:sqref>O5</xm:sqref>
        </x14:conditionalFormatting>
        <x14:conditionalFormatting xmlns:xm="http://schemas.microsoft.com/office/excel/2006/main">
          <x14:cfRule type="dataBar" id="{33C3CA34-6A5C-4743-93A4-6B1B108848DA}">
            <x14:dataBar minLength="0" maxLength="100" negativeBarColorSameAsPositive="1" axisPosition="none">
              <x14:cfvo type="num">
                <xm:f>0</xm:f>
              </x14:cfvo>
              <x14:cfvo type="num">
                <xm:f>1</xm:f>
              </x14:cfvo>
            </x14:dataBar>
          </x14:cfRule>
          <xm:sqref>O11</xm:sqref>
        </x14:conditionalFormatting>
        <x14:conditionalFormatting xmlns:xm="http://schemas.microsoft.com/office/excel/2006/main">
          <x14:cfRule type="dataBar" id="{40E29152-1457-4548-A6EC-BD49E14C5DF1}">
            <x14:dataBar minLength="0" maxLength="100" negativeBarColorSameAsPositive="1" axisPosition="none">
              <x14:cfvo type="num">
                <xm:f>0</xm:f>
              </x14:cfvo>
              <x14:cfvo type="num">
                <xm:f>1</xm:f>
              </x14:cfvo>
            </x14:dataBar>
          </x14:cfRule>
          <xm:sqref>O16</xm:sqref>
        </x14:conditionalFormatting>
        <x14:conditionalFormatting xmlns:xm="http://schemas.microsoft.com/office/excel/2006/main">
          <x14:cfRule type="dataBar" id="{0CFCAFD0-9255-4F1B-A716-B348079A8130}">
            <x14:dataBar minLength="0" maxLength="100" negativeBarColorSameAsPositive="1" axisPosition="none">
              <x14:cfvo type="num">
                <xm:f>0</xm:f>
              </x14:cfvo>
              <x14:cfvo type="num">
                <xm:f>1</xm:f>
              </x14:cfvo>
            </x14:dataBar>
          </x14:cfRule>
          <xm:sqref>O29</xm:sqref>
        </x14:conditionalFormatting>
        <x14:conditionalFormatting xmlns:xm="http://schemas.microsoft.com/office/excel/2006/main">
          <x14:cfRule type="dataBar" id="{506279A7-D22B-4321-8632-3E06D70A69F7}">
            <x14:dataBar minLength="0" maxLength="100" negativeBarColorSameAsPositive="1" axisPosition="none">
              <x14:cfvo type="num">
                <xm:f>0</xm:f>
              </x14:cfvo>
              <x14:cfvo type="num">
                <xm:f>1</xm:f>
              </x14:cfvo>
            </x14:dataBar>
          </x14:cfRule>
          <xm:sqref>O55 O42 O81 O107 O120 O133 O146 O159</xm:sqref>
        </x14:conditionalFormatting>
        <x14:conditionalFormatting xmlns:xm="http://schemas.microsoft.com/office/excel/2006/main">
          <x14:cfRule type="dataBar" id="{7A6B57A8-7C73-4363-B421-5B8DFDAF6A29}">
            <x14:dataBar minLength="0" maxLength="100" negativeBarColorSameAsPositive="1" axisPosition="none">
              <x14:cfvo type="num">
                <xm:f>0</xm:f>
              </x14:cfvo>
              <x14:cfvo type="num">
                <xm:f>1</xm:f>
              </x14:cfvo>
            </x14:dataBar>
          </x14:cfRule>
          <xm:sqref>O68</xm:sqref>
        </x14:conditionalFormatting>
        <x14:conditionalFormatting xmlns:xm="http://schemas.microsoft.com/office/excel/2006/main">
          <x14:cfRule type="dataBar" id="{9914A78D-0172-4005-BD96-EC69315C29B1}">
            <x14:dataBar minLength="0" maxLength="100" negativeBarColorSameAsPositive="1" axisPosition="none">
              <x14:cfvo type="num">
                <xm:f>0</xm:f>
              </x14:cfvo>
              <x14:cfvo type="num">
                <xm:f>1</xm:f>
              </x14:cfvo>
            </x14:dataBar>
          </x14:cfRule>
          <xm:sqref>O72</xm:sqref>
        </x14:conditionalFormatting>
        <x14:conditionalFormatting xmlns:xm="http://schemas.microsoft.com/office/excel/2006/main">
          <x14:cfRule type="dataBar" id="{79B0311F-0242-49C5-9788-D0F4EAE035EE}">
            <x14:dataBar minLength="0" maxLength="100" negativeBarColorSameAsPositive="1" axisPosition="none">
              <x14:cfvo type="num">
                <xm:f>0</xm:f>
              </x14:cfvo>
              <x14:cfvo type="num">
                <xm:f>1</xm:f>
              </x14:cfvo>
            </x14:dataBar>
          </x14:cfRule>
          <xm:sqref>O73</xm:sqref>
        </x14:conditionalFormatting>
        <x14:conditionalFormatting xmlns:xm="http://schemas.microsoft.com/office/excel/2006/main">
          <x14:cfRule type="dataBar" id="{F2A9098F-D47A-431B-885C-D1AA7D4BAAC8}">
            <x14:dataBar minLength="0" maxLength="100" negativeBarColorSameAsPositive="1" axisPosition="none">
              <x14:cfvo type="num">
                <xm:f>0</xm:f>
              </x14:cfvo>
              <x14:cfvo type="num">
                <xm:f>1</xm:f>
              </x14:cfvo>
            </x14:dataBar>
          </x14:cfRule>
          <xm:sqref>O78</xm:sqref>
        </x14:conditionalFormatting>
        <x14:conditionalFormatting xmlns:xm="http://schemas.microsoft.com/office/excel/2006/main">
          <x14:cfRule type="dataBar" id="{A820AA3C-CE78-4DB0-A746-32EA9AD6B460}">
            <x14:dataBar minLength="0" maxLength="100" negativeBarColorSameAsPositive="1" axisPosition="none">
              <x14:cfvo type="num">
                <xm:f>0</xm:f>
              </x14:cfvo>
              <x14:cfvo type="num">
                <xm:f>1</xm:f>
              </x14:cfvo>
            </x14:dataBar>
          </x14:cfRule>
          <xm:sqref>O79</xm:sqref>
        </x14:conditionalFormatting>
        <x14:conditionalFormatting xmlns:xm="http://schemas.microsoft.com/office/excel/2006/main">
          <x14:cfRule type="dataBar" id="{387062B3-EAED-4F63-949A-C4E32E953901}">
            <x14:dataBar minLength="0" maxLength="100" negativeBarColorSameAsPositive="1" axisPosition="none">
              <x14:cfvo type="num">
                <xm:f>0</xm:f>
              </x14:cfvo>
              <x14:cfvo type="num">
                <xm:f>1</xm:f>
              </x14:cfvo>
            </x14:dataBar>
          </x14:cfRule>
          <xm:sqref>O82:O85 O4 O95:O98 O108:O117 O121:O122 O134:O145 O147:O148 O160 O56:O67 O69:O71 O30:O41 O43:O54 O17:O28 O124:O128 O106 O130:O132 O150:O152 O155:O158 O6:O10 O12:O15 O74:O77 O100:O104 O119 O80 O88:O93</xm:sqref>
        </x14:conditionalFormatting>
        <x14:conditionalFormatting xmlns:xm="http://schemas.microsoft.com/office/excel/2006/main">
          <x14:cfRule type="dataBar" id="{87565B2F-9E08-4471-B41D-D02A43D0660E}">
            <x14:dataBar minLength="0" maxLength="100" negativeBarColorSameAsPositive="1" axisPosition="none">
              <x14:cfvo type="num">
                <xm:f>0</xm:f>
              </x14:cfvo>
              <x14:cfvo type="num">
                <xm:f>1</xm:f>
              </x14:cfvo>
            </x14:dataBar>
          </x14:cfRule>
          <xm:sqref>O86</xm:sqref>
        </x14:conditionalFormatting>
        <x14:conditionalFormatting xmlns:xm="http://schemas.microsoft.com/office/excel/2006/main">
          <x14:cfRule type="dataBar" id="{BCD7A14C-17F4-428E-9793-C7A51BFD2BBB}">
            <x14:dataBar minLength="0" maxLength="100" negativeBarColorSameAsPositive="1" axisPosition="none">
              <x14:cfvo type="num">
                <xm:f>0</xm:f>
              </x14:cfvo>
              <x14:cfvo type="num">
                <xm:f>1</xm:f>
              </x14:cfvo>
            </x14:dataBar>
          </x14:cfRule>
          <xm:sqref>O87</xm:sqref>
        </x14:conditionalFormatting>
        <x14:conditionalFormatting xmlns:xm="http://schemas.microsoft.com/office/excel/2006/main">
          <x14:cfRule type="dataBar" id="{13750263-A11A-4F3B-B175-BBBDC7A008C1}">
            <x14:dataBar minLength="0" maxLength="100" negativeBarColorSameAsPositive="1" axisPosition="none">
              <x14:cfvo type="num">
                <xm:f>0</xm:f>
              </x14:cfvo>
              <x14:cfvo type="num">
                <xm:f>1</xm:f>
              </x14:cfvo>
            </x14:dataBar>
          </x14:cfRule>
          <xm:sqref>O94</xm:sqref>
        </x14:conditionalFormatting>
        <x14:conditionalFormatting xmlns:xm="http://schemas.microsoft.com/office/excel/2006/main">
          <x14:cfRule type="dataBar" id="{1D5BB2E2-C99D-489C-9DA1-16277218146D}">
            <x14:dataBar minLength="0" maxLength="100" negativeBarColorSameAsPositive="1" axisPosition="none">
              <x14:cfvo type="num">
                <xm:f>0</xm:f>
              </x14:cfvo>
              <x14:cfvo type="num">
                <xm:f>1</xm:f>
              </x14:cfvo>
            </x14:dataBar>
          </x14:cfRule>
          <xm:sqref>O99</xm:sqref>
        </x14:conditionalFormatting>
        <x14:conditionalFormatting xmlns:xm="http://schemas.microsoft.com/office/excel/2006/main">
          <x14:cfRule type="dataBar" id="{047C8CBE-094D-438C-BA8A-1AC75B7120B9}">
            <x14:dataBar minLength="0" maxLength="100" negativeBarColorSameAsPositive="1" axisPosition="none">
              <x14:cfvo type="num">
                <xm:f>0</xm:f>
              </x14:cfvo>
              <x14:cfvo type="num">
                <xm:f>1</xm:f>
              </x14:cfvo>
            </x14:dataBar>
          </x14:cfRule>
          <xm:sqref>O105</xm:sqref>
        </x14:conditionalFormatting>
        <x14:conditionalFormatting xmlns:xm="http://schemas.microsoft.com/office/excel/2006/main">
          <x14:cfRule type="dataBar" id="{FA7B319E-6B2F-42F3-A4EA-97C2D55FDD23}">
            <x14:dataBar minLength="0" maxLength="100" negativeBarColorSameAsPositive="1" axisPosition="none">
              <x14:cfvo type="num">
                <xm:f>0</xm:f>
              </x14:cfvo>
              <x14:cfvo type="num">
                <xm:f>1</xm:f>
              </x14:cfvo>
            </x14:dataBar>
          </x14:cfRule>
          <xm:sqref>O118</xm:sqref>
        </x14:conditionalFormatting>
        <x14:conditionalFormatting xmlns:xm="http://schemas.microsoft.com/office/excel/2006/main">
          <x14:cfRule type="dataBar" id="{C59E49D9-CF12-472E-A242-DD5B055A4C01}">
            <x14:dataBar minLength="0" maxLength="100" negativeBarColorSameAsPositive="1" axisPosition="none">
              <x14:cfvo type="num">
                <xm:f>0</xm:f>
              </x14:cfvo>
              <x14:cfvo type="num">
                <xm:f>1</xm:f>
              </x14:cfvo>
            </x14:dataBar>
          </x14:cfRule>
          <xm:sqref>O123</xm:sqref>
        </x14:conditionalFormatting>
        <x14:conditionalFormatting xmlns:xm="http://schemas.microsoft.com/office/excel/2006/main">
          <x14:cfRule type="dataBar" id="{380218C0-EDD4-4EB3-913B-EB85173E250E}">
            <x14:dataBar minLength="0" maxLength="100" negativeBarColorSameAsPositive="1" axisPosition="none">
              <x14:cfvo type="num">
                <xm:f>0</xm:f>
              </x14:cfvo>
              <x14:cfvo type="num">
                <xm:f>1</xm:f>
              </x14:cfvo>
            </x14:dataBar>
          </x14:cfRule>
          <xm:sqref>O129</xm:sqref>
        </x14:conditionalFormatting>
        <x14:conditionalFormatting xmlns:xm="http://schemas.microsoft.com/office/excel/2006/main">
          <x14:cfRule type="dataBar" id="{9EAF51D0-A014-4169-99E1-65CF4D4BD8C0}">
            <x14:dataBar minLength="0" maxLength="100" negativeBarColorSameAsPositive="1" axisPosition="none">
              <x14:cfvo type="num">
                <xm:f>0</xm:f>
              </x14:cfvo>
              <x14:cfvo type="num">
                <xm:f>1</xm:f>
              </x14:cfvo>
            </x14:dataBar>
          </x14:cfRule>
          <xm:sqref>O149</xm:sqref>
        </x14:conditionalFormatting>
        <x14:conditionalFormatting xmlns:xm="http://schemas.microsoft.com/office/excel/2006/main">
          <x14:cfRule type="dataBar" id="{D896D190-266B-4B61-AFAD-764F1E888968}">
            <x14:dataBar minLength="0" maxLength="100" negativeBarColorSameAsPositive="1" axisPosition="none">
              <x14:cfvo type="num">
                <xm:f>0</xm:f>
              </x14:cfvo>
              <x14:cfvo type="num">
                <xm:f>1</xm:f>
              </x14:cfvo>
            </x14:dataBar>
          </x14:cfRule>
          <xm:sqref>O153</xm:sqref>
        </x14:conditionalFormatting>
        <x14:conditionalFormatting xmlns:xm="http://schemas.microsoft.com/office/excel/2006/main">
          <x14:cfRule type="dataBar" id="{48110103-3B16-46D9-8F62-361D53BE1342}">
            <x14:dataBar minLength="0" maxLength="100" negativeBarColorSameAsPositive="1" axisPosition="none">
              <x14:cfvo type="num">
                <xm:f>0</xm:f>
              </x14:cfvo>
              <x14:cfvo type="num">
                <xm:f>1</xm:f>
              </x14:cfvo>
            </x14:dataBar>
          </x14:cfRule>
          <xm:sqref>O154</xm:sqref>
        </x14:conditionalFormatting>
        <x14:conditionalFormatting xmlns:xm="http://schemas.microsoft.com/office/excel/2006/main">
          <x14:cfRule type="dataBar" id="{A963F86B-94D4-41CB-882C-2EE523556F95}">
            <x14:dataBar minLength="0" maxLength="100" negativeBarColorSameAsPositive="1" axisPosition="none">
              <x14:cfvo type="num">
                <xm:f>0</xm:f>
              </x14:cfvo>
              <x14:cfvo type="num">
                <xm:f>1</xm:f>
              </x14:cfvo>
            </x14:dataBar>
          </x14:cfRule>
          <xm:sqref>Q4:Q15 Q17:Q28 Q30:Q41 Q43:Q54 Q56:Q67 Q69:Q80 Q82:Q93 Q95:Q106 Q108:Q119 Q121:Q132 Q134:Q145 Q147:Q158 Q160</xm:sqref>
        </x14:conditionalFormatting>
        <x14:conditionalFormatting xmlns:xm="http://schemas.microsoft.com/office/excel/2006/main">
          <x14:cfRule type="dataBar" id="{9F34BC8A-B992-4668-8DE8-5EB9C6319E7A}">
            <x14:dataBar minLength="0" maxLength="100" negativeBarColorSameAsPositive="1" axisPosition="none">
              <x14:cfvo type="num">
                <xm:f>0</xm:f>
              </x14:cfvo>
              <x14:cfvo type="num">
                <xm:f>1</xm:f>
              </x14:cfvo>
            </x14:dataBar>
          </x14:cfRule>
          <xm:sqref>Q16 Q29 Q42 Q55 Q68 Q81 Q94 Q107 Q120 Q133 Q146 Q159</xm:sqref>
        </x14:conditionalFormatting>
        <x14:conditionalFormatting xmlns:xm="http://schemas.microsoft.com/office/excel/2006/main">
          <x14:cfRule type="dataBar" id="{C5E06282-AE78-4EC4-8C79-1F15A28D736C}">
            <x14:dataBar minLength="0" maxLength="100" negativeBarColorSameAsPositive="1" axisPosition="none">
              <x14:cfvo type="num">
                <xm:f>0</xm:f>
              </x14:cfvo>
              <x14:cfvo type="num">
                <xm:f>1</xm:f>
              </x14:cfvo>
            </x14:dataBar>
          </x14:cfRule>
          <xm:sqref>S4:S15 S17:S28 S30:S41 S43:S54 S56:S67 S69:S80 S82:S93 S95:S106 S108:S119 S121:S132 S134:S145 S147:S158 S160</xm:sqref>
        </x14:conditionalFormatting>
        <x14:conditionalFormatting xmlns:xm="http://schemas.microsoft.com/office/excel/2006/main">
          <x14:cfRule type="dataBar" id="{98AB3334-1C2A-4BED-B3E5-E4BB7E8AF666}">
            <x14:dataBar minLength="0" maxLength="100" negativeBarColorSameAsPositive="1" axisPosition="none">
              <x14:cfvo type="num">
                <xm:f>0</xm:f>
              </x14:cfvo>
              <x14:cfvo type="num">
                <xm:f>1</xm:f>
              </x14:cfvo>
            </x14:dataBar>
          </x14:cfRule>
          <xm:sqref>S16 S29 S42 S55 S68 S81 S94 S107 S120 S133 S146 S159</xm:sqref>
        </x14:conditionalFormatting>
        <x14:conditionalFormatting xmlns:xm="http://schemas.microsoft.com/office/excel/2006/main">
          <x14:cfRule type="dataBar" id="{97199F96-389C-4DBD-9627-4393E89254AC}">
            <x14:dataBar minLength="0" maxLength="100" negativeBarColorSameAsPositive="1" axisPosition="none">
              <x14:cfvo type="num">
                <xm:f>0</xm:f>
              </x14:cfvo>
              <x14:cfvo type="num">
                <xm:f>1</xm:f>
              </x14:cfvo>
            </x14:dataBar>
          </x14:cfRule>
          <xm:sqref>U4:U15 U17:U28 U30:U41 U43:U54 U56:U67 U69:U80 U82:U93 U95:U106 U108:U119 U121:U132 U134:U145 U147:U158 U160</xm:sqref>
        </x14:conditionalFormatting>
        <x14:conditionalFormatting xmlns:xm="http://schemas.microsoft.com/office/excel/2006/main">
          <x14:cfRule type="dataBar" id="{41374BFC-FA4B-473D-B91F-32C0C30D82B8}">
            <x14:dataBar minLength="0" maxLength="100" negativeBarColorSameAsPositive="1" axisPosition="none">
              <x14:cfvo type="num">
                <xm:f>0</xm:f>
              </x14:cfvo>
              <x14:cfvo type="num">
                <xm:f>1</xm:f>
              </x14:cfvo>
            </x14:dataBar>
          </x14:cfRule>
          <xm:sqref>U29 U16 U42 U55 U68 U81 U94 U107 U120 U133 U146 U159</xm:sqref>
        </x14:conditionalFormatting>
        <x14:conditionalFormatting xmlns:xm="http://schemas.microsoft.com/office/excel/2006/main">
          <x14:cfRule type="dataBar" id="{0153A3FB-94BE-48FC-8355-5E85F148EF82}">
            <x14:dataBar minLength="0" maxLength="100" negativeBarColorSameAsPositive="1" axisPosition="none">
              <x14:cfvo type="num">
                <xm:f>0</xm:f>
              </x14:cfvo>
              <x14:cfvo type="num">
                <xm:f>1</xm:f>
              </x14:cfvo>
            </x14:dataBar>
          </x14:cfRule>
          <xm:sqref>W4:W15 W17:W28 W30:W41 W43:W54 W56:W67 W69:W80 W82:W93 W95:W106 W108:W119 W121:W132 W134:W145 W147:W158 W160</xm:sqref>
        </x14:conditionalFormatting>
        <x14:conditionalFormatting xmlns:xm="http://schemas.microsoft.com/office/excel/2006/main">
          <x14:cfRule type="dataBar" id="{7ACC79AE-72A8-41E2-8A9D-AE36342A1DD1}">
            <x14:dataBar minLength="0" maxLength="100" negativeBarColorSameAsPositive="1" axisPosition="none">
              <x14:cfvo type="num">
                <xm:f>0</xm:f>
              </x14:cfvo>
              <x14:cfvo type="num">
                <xm:f>1</xm:f>
              </x14:cfvo>
            </x14:dataBar>
          </x14:cfRule>
          <xm:sqref>W29 W16 W42 W55 W68 W81 W94 W107 W120 W133 W146 W159</xm:sqref>
        </x14:conditionalFormatting>
        <x14:conditionalFormatting xmlns:xm="http://schemas.microsoft.com/office/excel/2006/main">
          <x14:cfRule type="dataBar" id="{9DEC1B00-02FB-48E5-9B49-4D342E927F97}">
            <x14:dataBar minLength="0" maxLength="100" negativeBarColorSameAsPositive="1" axisPosition="none">
              <x14:cfvo type="num">
                <xm:f>0</xm:f>
              </x14:cfvo>
              <x14:cfvo type="num">
                <xm:f>1</xm:f>
              </x14:cfvo>
            </x14:dataBar>
          </x14:cfRule>
          <xm:sqref>Y4:Y15 Y17:Y28 Y30:Y41 Y43:Y54 Y56:Y67 Y69:Y80 Y82:Y93 Y95:Y106 Y108:Y119 Y121:Y132 Y134:Y145 Y147:Y158 Y160</xm:sqref>
        </x14:conditionalFormatting>
        <x14:conditionalFormatting xmlns:xm="http://schemas.microsoft.com/office/excel/2006/main">
          <x14:cfRule type="dataBar" id="{AF3D2A11-D8AD-41E8-98AD-500FF8BC32BC}">
            <x14:dataBar minLength="0" maxLength="100" negativeBarColorSameAsPositive="1" axisPosition="none">
              <x14:cfvo type="num">
                <xm:f>0</xm:f>
              </x14:cfvo>
              <x14:cfvo type="num">
                <xm:f>1</xm:f>
              </x14:cfvo>
            </x14:dataBar>
          </x14:cfRule>
          <xm:sqref>Y29 Y16 Y42 Y55 Y68 Y81 Y94 Y107 Y120 Y133 Y146 Y159</xm:sqref>
        </x14:conditionalFormatting>
        <x14:conditionalFormatting xmlns:xm="http://schemas.microsoft.com/office/excel/2006/main">
          <x14:cfRule type="dataBar" id="{9BC4AD8B-D4F9-4E71-A6BF-38E0789DB7CC}">
            <x14:dataBar minLength="0" maxLength="100" negativeBarColorSameAsPositive="1" axisPosition="none">
              <x14:cfvo type="num">
                <xm:f>0</xm:f>
              </x14:cfvo>
              <x14:cfvo type="num">
                <xm:f>1</xm:f>
              </x14:cfvo>
            </x14:dataBar>
          </x14:cfRule>
          <xm:sqref>AA4:AA15 AA17:AA28 AA30:AA41 AA43:AA54 AA56:AA67 AA69:AA80 AA82:AA93 AA95:AA106 AA108:AA119 AA121:AA132 AA134:AA145 AA147:AA158 AA160</xm:sqref>
        </x14:conditionalFormatting>
        <x14:conditionalFormatting xmlns:xm="http://schemas.microsoft.com/office/excel/2006/main">
          <x14:cfRule type="dataBar" id="{8ABCDDCC-5439-4378-90B4-C8E1048E0F6B}">
            <x14:dataBar minLength="0" maxLength="100" negativeBarColorSameAsPositive="1" axisPosition="none">
              <x14:cfvo type="num">
                <xm:f>0</xm:f>
              </x14:cfvo>
              <x14:cfvo type="num">
                <xm:f>1</xm:f>
              </x14:cfvo>
            </x14:dataBar>
          </x14:cfRule>
          <xm:sqref>AA16 AA29 AA42 AA55 AA68 AA81 AA94 AA107 AA120 AA133 AA146 AA159</xm:sqref>
        </x14:conditionalFormatting>
        <x14:conditionalFormatting xmlns:xm="http://schemas.microsoft.com/office/excel/2006/main">
          <x14:cfRule type="dataBar" id="{C5A02C87-78D8-4003-B98A-315AA7011561}">
            <x14:dataBar minLength="0" maxLength="100" negativeBarColorSameAsPositive="1" axisPosition="none">
              <x14:cfvo type="num">
                <xm:f>0</xm:f>
              </x14:cfvo>
              <x14:cfvo type="num">
                <xm:f>1</xm:f>
              </x14:cfvo>
            </x14:dataBar>
          </x14:cfRule>
          <xm:sqref>AC4:AC15 AC17:AC28 AC30:AC41 AC43:AC54 AC56:AC67 AC69:AC80 AC82:AC93 AC95:AC106 AC108:AC119 AC121:AC132 AC134:AC145 AC147:AC158 AC160</xm:sqref>
        </x14:conditionalFormatting>
        <x14:conditionalFormatting xmlns:xm="http://schemas.microsoft.com/office/excel/2006/main">
          <x14:cfRule type="dataBar" id="{D3404742-CBC7-4EC5-8B65-EE4EC2081ABF}">
            <x14:dataBar minLength="0" maxLength="100" negativeBarColorSameAsPositive="1" axisPosition="none">
              <x14:cfvo type="num">
                <xm:f>0</xm:f>
              </x14:cfvo>
              <x14:cfvo type="num">
                <xm:f>1</xm:f>
              </x14:cfvo>
            </x14:dataBar>
          </x14:cfRule>
          <xm:sqref>AC16 AC29 AC42 AC55 AC68 AC81 AC94 AC107 AC120 AC133 AC146 AC159</xm:sqref>
        </x14:conditionalFormatting>
        <x14:conditionalFormatting xmlns:xm="http://schemas.microsoft.com/office/excel/2006/main">
          <x14:cfRule type="dataBar" id="{25456023-802E-44B6-85DD-6692D09E1009}">
            <x14:dataBar minLength="0" maxLength="100" negativeBarColorSameAsPositive="1" axisPosition="none">
              <x14:cfvo type="num">
                <xm:f>0</xm:f>
              </x14:cfvo>
              <x14:cfvo type="num">
                <xm:f>1</xm:f>
              </x14:cfvo>
            </x14:dataBar>
          </x14:cfRule>
          <xm:sqref>AD4:AD15 AD17:AD28 AD30:AD41 AD43:AD54 AD56:AD67 AD69:AD80 AD82:AD93 AD95:AD106 AD108:AD119 AD121:AD132 AD134:AD145 AD147:AD158 AD160</xm:sqref>
        </x14:conditionalFormatting>
        <x14:conditionalFormatting xmlns:xm="http://schemas.microsoft.com/office/excel/2006/main">
          <x14:cfRule type="dataBar" id="{2AD7125D-E7C3-4DF2-9E35-F3916152D26F}">
            <x14:dataBar minLength="0" maxLength="100" negativeBarColorSameAsPositive="1" axisPosition="none">
              <x14:cfvo type="num">
                <xm:f>0</xm:f>
              </x14:cfvo>
              <x14:cfvo type="num">
                <xm:f>1</xm:f>
              </x14:cfvo>
            </x14:dataBar>
          </x14:cfRule>
          <xm:sqref>AD16 AD29 AD42 AD55 AD68 AD81 AD94 AD107 AD120 AD133 AD146 AD159</xm:sqref>
        </x14:conditionalFormatting>
        <x14:conditionalFormatting xmlns:xm="http://schemas.microsoft.com/office/excel/2006/main">
          <x14:cfRule type="dataBar" id="{2D4F6FC9-1802-425B-814F-8ACACF711BE9}">
            <x14:dataBar minLength="0" maxLength="100" negativeBarColorSameAsPositive="1" axisPosition="none">
              <x14:cfvo type="num">
                <xm:f>0</xm:f>
              </x14:cfvo>
              <x14:cfvo type="num">
                <xm:f>1</xm:f>
              </x14:cfvo>
            </x14:dataBar>
          </x14:cfRule>
          <xm:sqref>AE4:AE15 AE17:AE28 AE30:AE41 AE43:AE54 AE56:AE67 AE69:AE80 AE82:AE93 AE95:AE106 AE108:AE119 AE121:AE132 AE134:AE145 AE147:AE158 AE160</xm:sqref>
        </x14:conditionalFormatting>
        <x14:conditionalFormatting xmlns:xm="http://schemas.microsoft.com/office/excel/2006/main">
          <x14:cfRule type="dataBar" id="{6AB40203-716E-4C57-912A-5C0A8E2059A7}">
            <x14:dataBar minLength="0" maxLength="100" negativeBarColorSameAsPositive="1" axisPosition="none">
              <x14:cfvo type="num">
                <xm:f>0</xm:f>
              </x14:cfvo>
              <x14:cfvo type="num">
                <xm:f>1</xm:f>
              </x14:cfvo>
            </x14:dataBar>
          </x14:cfRule>
          <xm:sqref>AE16 AE29 AE42 AE55 AE68 AE81 AE94 AE107 AE120 AE133 AE146 AE159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AK160"/>
  <sheetViews>
    <sheetView zoomScale="55" zoomScaleNormal="55" workbookViewId="0">
      <pane xSplit="6" ySplit="3" topLeftCell="H120" activePane="bottomRight" state="frozen"/>
      <selection pane="topRight"/>
      <selection pane="bottomLeft"/>
      <selection pane="bottomRight" activeCell="E7" sqref="E7"/>
    </sheetView>
  </sheetViews>
  <sheetFormatPr baseColWidth="10" defaultColWidth="9" defaultRowHeight="14"/>
  <cols>
    <col min="1" max="2" width="6.5" customWidth="1"/>
    <col min="3" max="3" width="8.1640625" customWidth="1"/>
    <col min="4" max="4" width="6.83203125" customWidth="1"/>
    <col min="5" max="5" width="41.6640625" customWidth="1"/>
    <col min="6" max="6" width="34.1640625" customWidth="1"/>
    <col min="7" max="7" width="14.83203125" hidden="1" customWidth="1"/>
    <col min="8" max="8" width="14.83203125" customWidth="1"/>
    <col min="9" max="9" width="14.83203125" hidden="1" customWidth="1"/>
    <col min="10" max="10" width="14.6640625" hidden="1" customWidth="1"/>
    <col min="11" max="11" width="14.83203125" hidden="1" customWidth="1"/>
    <col min="12" max="12" width="14.6640625" hidden="1" customWidth="1"/>
    <col min="13" max="13" width="14.83203125" hidden="1" customWidth="1"/>
    <col min="14" max="14" width="14.6640625" customWidth="1"/>
    <col min="15" max="16" width="15.6640625" customWidth="1"/>
    <col min="17" max="17" width="14.6640625" customWidth="1"/>
    <col min="18" max="18" width="15.6640625" customWidth="1"/>
    <col min="19" max="19" width="14.6640625" customWidth="1"/>
    <col min="20" max="20" width="15.6640625" customWidth="1"/>
    <col min="21" max="21" width="14.6640625" customWidth="1"/>
    <col min="22" max="22" width="15.6640625" customWidth="1"/>
    <col min="23" max="23" width="11.83203125" customWidth="1"/>
    <col min="24" max="24" width="15.6640625" customWidth="1"/>
    <col min="25" max="25" width="11.83203125" customWidth="1"/>
    <col min="26" max="26" width="15.6640625" customWidth="1"/>
    <col min="27" max="27" width="11.83203125" customWidth="1"/>
    <col min="28" max="28" width="15.6640625" customWidth="1"/>
    <col min="29" max="31" width="11.83203125" customWidth="1"/>
    <col min="32" max="32" width="15.6640625" customWidth="1"/>
    <col min="33" max="33" width="11.83203125" customWidth="1"/>
    <col min="34" max="34" width="15.6640625" customWidth="1"/>
    <col min="35" max="35" width="11.83203125" customWidth="1"/>
    <col min="36" max="36" width="15.6640625" customWidth="1"/>
    <col min="37" max="37" width="22.6640625" customWidth="1"/>
  </cols>
  <sheetData>
    <row r="1" spans="1:37" ht="27" customHeight="1">
      <c r="A1" s="216" t="s">
        <v>152</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8"/>
    </row>
    <row r="2" spans="1:37" ht="27" customHeight="1">
      <c r="A2" s="219" t="s">
        <v>153</v>
      </c>
      <c r="B2" s="219" t="s">
        <v>4</v>
      </c>
      <c r="C2" s="219" t="s">
        <v>154</v>
      </c>
      <c r="D2" s="219" t="s">
        <v>155</v>
      </c>
      <c r="E2" s="219" t="s">
        <v>156</v>
      </c>
      <c r="F2" s="219" t="s">
        <v>157</v>
      </c>
      <c r="G2" s="219" t="s">
        <v>158</v>
      </c>
      <c r="H2" s="219" t="s">
        <v>6</v>
      </c>
      <c r="I2" s="219" t="s">
        <v>159</v>
      </c>
      <c r="J2" s="219" t="s">
        <v>160</v>
      </c>
      <c r="K2" s="219" t="s">
        <v>161</v>
      </c>
      <c r="L2" s="219" t="s">
        <v>162</v>
      </c>
      <c r="M2" s="219" t="s">
        <v>163</v>
      </c>
      <c r="N2" s="219" t="s">
        <v>164</v>
      </c>
      <c r="O2" s="219" t="s">
        <v>165</v>
      </c>
      <c r="P2" s="219" t="s">
        <v>166</v>
      </c>
      <c r="Q2" s="219" t="s">
        <v>167</v>
      </c>
      <c r="R2" s="219" t="s">
        <v>168</v>
      </c>
      <c r="S2" s="219" t="s">
        <v>169</v>
      </c>
      <c r="T2" s="219" t="s">
        <v>170</v>
      </c>
      <c r="U2" s="219" t="s">
        <v>171</v>
      </c>
      <c r="V2" s="219" t="s">
        <v>172</v>
      </c>
      <c r="W2" s="219" t="s">
        <v>173</v>
      </c>
      <c r="X2" s="219" t="s">
        <v>174</v>
      </c>
      <c r="Y2" s="219" t="s">
        <v>175</v>
      </c>
      <c r="Z2" s="219" t="s">
        <v>176</v>
      </c>
      <c r="AA2" s="219" t="s">
        <v>177</v>
      </c>
      <c r="AB2" s="219" t="s">
        <v>178</v>
      </c>
      <c r="AC2" s="219" t="s">
        <v>179</v>
      </c>
      <c r="AD2" s="219" t="s">
        <v>180</v>
      </c>
      <c r="AE2" s="219" t="s">
        <v>181</v>
      </c>
      <c r="AF2" s="219" t="s">
        <v>182</v>
      </c>
      <c r="AG2" s="219" t="s">
        <v>183</v>
      </c>
      <c r="AH2" s="219" t="s">
        <v>184</v>
      </c>
      <c r="AI2" s="219" t="s">
        <v>185</v>
      </c>
      <c r="AJ2" s="219" t="s">
        <v>186</v>
      </c>
      <c r="AK2" s="219" t="s">
        <v>19</v>
      </c>
    </row>
    <row r="3" spans="1:37" ht="27" customHeight="1">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row>
    <row r="4" spans="1:37" ht="27" customHeight="1">
      <c r="A4" s="1">
        <v>1</v>
      </c>
      <c r="B4" s="1"/>
      <c r="C4" s="1"/>
      <c r="D4" s="1"/>
      <c r="E4" s="17" t="s">
        <v>398</v>
      </c>
      <c r="F4" s="17" t="s">
        <v>399</v>
      </c>
      <c r="G4" s="1"/>
      <c r="H4" s="18">
        <v>3</v>
      </c>
      <c r="I4" s="5"/>
      <c r="J4" s="1"/>
      <c r="K4" s="5"/>
      <c r="L4" s="6"/>
      <c r="M4" s="5"/>
      <c r="N4" s="19">
        <v>3.12</v>
      </c>
      <c r="O4" s="8">
        <v>1</v>
      </c>
      <c r="P4" s="9">
        <v>44964</v>
      </c>
      <c r="Q4" s="8">
        <v>0</v>
      </c>
      <c r="R4" s="9">
        <v>44964</v>
      </c>
      <c r="S4" s="8">
        <v>0</v>
      </c>
      <c r="T4" s="9">
        <v>44964</v>
      </c>
      <c r="U4" s="8">
        <v>0</v>
      </c>
      <c r="V4" s="9">
        <v>44964</v>
      </c>
      <c r="W4" s="8">
        <v>0</v>
      </c>
      <c r="X4" s="9">
        <v>44964</v>
      </c>
      <c r="Y4" s="8">
        <v>0</v>
      </c>
      <c r="Z4" s="9">
        <v>44964</v>
      </c>
      <c r="AA4" s="8">
        <v>0</v>
      </c>
      <c r="AB4" s="9">
        <v>44964</v>
      </c>
      <c r="AC4" s="8">
        <v>0</v>
      </c>
      <c r="AD4" s="8">
        <v>0</v>
      </c>
      <c r="AE4" s="8">
        <v>0</v>
      </c>
      <c r="AF4" s="9">
        <v>44964</v>
      </c>
      <c r="AG4" s="10" t="s">
        <v>189</v>
      </c>
      <c r="AH4" s="9">
        <v>44964</v>
      </c>
      <c r="AI4" s="10" t="s">
        <v>189</v>
      </c>
      <c r="AJ4" s="9">
        <v>44964</v>
      </c>
      <c r="AK4" s="5"/>
    </row>
    <row r="5" spans="1:37" ht="27" customHeight="1">
      <c r="A5" s="1">
        <v>2</v>
      </c>
      <c r="B5" s="1"/>
      <c r="C5" s="1"/>
      <c r="D5" s="1"/>
      <c r="E5" s="17" t="s">
        <v>400</v>
      </c>
      <c r="F5" s="17" t="s">
        <v>401</v>
      </c>
      <c r="G5" s="1"/>
      <c r="H5" s="18">
        <v>1</v>
      </c>
      <c r="I5" s="5"/>
      <c r="J5" s="1"/>
      <c r="K5" s="5"/>
      <c r="L5" s="6"/>
      <c r="M5" s="5"/>
      <c r="N5" s="19">
        <v>3.12</v>
      </c>
      <c r="O5" s="8">
        <v>1</v>
      </c>
      <c r="P5" s="9">
        <v>44964</v>
      </c>
      <c r="Q5" s="8">
        <v>0</v>
      </c>
      <c r="R5" s="9">
        <v>44964</v>
      </c>
      <c r="S5" s="8">
        <v>0</v>
      </c>
      <c r="T5" s="9">
        <v>44964</v>
      </c>
      <c r="U5" s="8">
        <v>0</v>
      </c>
      <c r="V5" s="9">
        <v>44964</v>
      </c>
      <c r="W5" s="8">
        <v>0</v>
      </c>
      <c r="X5" s="9">
        <v>44964</v>
      </c>
      <c r="Y5" s="8">
        <v>0</v>
      </c>
      <c r="Z5" s="9">
        <v>44964</v>
      </c>
      <c r="AA5" s="8">
        <v>0</v>
      </c>
      <c r="AB5" s="9">
        <v>44964</v>
      </c>
      <c r="AC5" s="8">
        <v>0</v>
      </c>
      <c r="AD5" s="8">
        <v>0</v>
      </c>
      <c r="AE5" s="8">
        <v>0</v>
      </c>
      <c r="AF5" s="9">
        <v>44964</v>
      </c>
      <c r="AG5" s="10" t="s">
        <v>189</v>
      </c>
      <c r="AH5" s="9">
        <v>44964</v>
      </c>
      <c r="AI5" s="10" t="s">
        <v>189</v>
      </c>
      <c r="AJ5" s="9">
        <v>44964</v>
      </c>
      <c r="AK5" s="5"/>
    </row>
    <row r="6" spans="1:37" ht="27" customHeight="1">
      <c r="A6" s="1">
        <v>3</v>
      </c>
      <c r="B6" s="1"/>
      <c r="C6" s="1"/>
      <c r="D6" s="1"/>
      <c r="E6" s="17" t="s">
        <v>402</v>
      </c>
      <c r="F6" s="17" t="s">
        <v>403</v>
      </c>
      <c r="G6" s="1"/>
      <c r="H6" s="18">
        <v>1</v>
      </c>
      <c r="I6" s="5"/>
      <c r="J6" s="1"/>
      <c r="K6" s="5"/>
      <c r="L6" s="6"/>
      <c r="M6" s="5"/>
      <c r="N6" s="19">
        <v>3.13</v>
      </c>
      <c r="O6" s="8">
        <v>1</v>
      </c>
      <c r="P6" s="9">
        <v>44964</v>
      </c>
      <c r="Q6" s="8">
        <v>0</v>
      </c>
      <c r="R6" s="9">
        <v>44964</v>
      </c>
      <c r="S6" s="8">
        <v>0</v>
      </c>
      <c r="T6" s="9">
        <v>44964</v>
      </c>
      <c r="U6" s="8">
        <v>0</v>
      </c>
      <c r="V6" s="9">
        <v>44964</v>
      </c>
      <c r="W6" s="8">
        <v>0</v>
      </c>
      <c r="X6" s="9">
        <v>44964</v>
      </c>
      <c r="Y6" s="8">
        <v>0</v>
      </c>
      <c r="Z6" s="9">
        <v>44964</v>
      </c>
      <c r="AA6" s="8">
        <v>0</v>
      </c>
      <c r="AB6" s="9">
        <v>44964</v>
      </c>
      <c r="AC6" s="8">
        <v>0</v>
      </c>
      <c r="AD6" s="8">
        <v>0</v>
      </c>
      <c r="AE6" s="8">
        <v>0</v>
      </c>
      <c r="AF6" s="9">
        <v>44964</v>
      </c>
      <c r="AG6" s="10" t="s">
        <v>189</v>
      </c>
      <c r="AH6" s="9">
        <v>44964</v>
      </c>
      <c r="AI6" s="10" t="s">
        <v>189</v>
      </c>
      <c r="AJ6" s="9">
        <v>44964</v>
      </c>
      <c r="AK6" s="5"/>
    </row>
    <row r="7" spans="1:37" ht="27" customHeight="1">
      <c r="A7" s="1">
        <v>4</v>
      </c>
      <c r="B7" s="5"/>
      <c r="C7" s="5"/>
      <c r="D7" s="5"/>
      <c r="E7" s="17" t="s">
        <v>404</v>
      </c>
      <c r="F7" s="17" t="s">
        <v>405</v>
      </c>
      <c r="G7" s="1"/>
      <c r="H7" s="18">
        <v>2</v>
      </c>
      <c r="I7" s="5"/>
      <c r="J7" s="1"/>
      <c r="K7" s="5"/>
      <c r="L7" s="6"/>
      <c r="M7" s="5"/>
      <c r="N7" s="19">
        <v>3.12</v>
      </c>
      <c r="O7" s="8">
        <v>1</v>
      </c>
      <c r="P7" s="9">
        <v>44964</v>
      </c>
      <c r="Q7" s="8">
        <v>0</v>
      </c>
      <c r="R7" s="9">
        <v>44964</v>
      </c>
      <c r="S7" s="8">
        <v>0</v>
      </c>
      <c r="T7" s="9">
        <v>44964</v>
      </c>
      <c r="U7" s="8">
        <v>0</v>
      </c>
      <c r="V7" s="9">
        <v>44964</v>
      </c>
      <c r="W7" s="8">
        <v>0</v>
      </c>
      <c r="X7" s="9">
        <v>44964</v>
      </c>
      <c r="Y7" s="8">
        <v>0</v>
      </c>
      <c r="Z7" s="9">
        <v>44964</v>
      </c>
      <c r="AA7" s="8">
        <v>0</v>
      </c>
      <c r="AB7" s="9">
        <v>44964</v>
      </c>
      <c r="AC7" s="8">
        <v>0</v>
      </c>
      <c r="AD7" s="8">
        <v>0</v>
      </c>
      <c r="AE7" s="8">
        <v>0</v>
      </c>
      <c r="AF7" s="9">
        <v>44964</v>
      </c>
      <c r="AG7" s="10" t="s">
        <v>189</v>
      </c>
      <c r="AH7" s="9">
        <v>44964</v>
      </c>
      <c r="AI7" s="10" t="s">
        <v>189</v>
      </c>
      <c r="AJ7" s="9">
        <v>44964</v>
      </c>
      <c r="AK7" s="5"/>
    </row>
    <row r="8" spans="1:37" ht="27" customHeight="1">
      <c r="A8" s="1">
        <v>5</v>
      </c>
      <c r="B8" s="5"/>
      <c r="C8" s="5"/>
      <c r="D8" s="5"/>
      <c r="E8" s="17" t="s">
        <v>406</v>
      </c>
      <c r="F8" s="17" t="s">
        <v>407</v>
      </c>
      <c r="G8" s="1"/>
      <c r="H8" s="18">
        <v>1</v>
      </c>
      <c r="I8" s="5"/>
      <c r="J8" s="1"/>
      <c r="K8" s="5"/>
      <c r="L8" s="6"/>
      <c r="M8" s="5"/>
      <c r="N8" s="19">
        <v>3.11</v>
      </c>
      <c r="O8" s="8">
        <v>1</v>
      </c>
      <c r="P8" s="9">
        <v>44964</v>
      </c>
      <c r="Q8" s="8">
        <v>0</v>
      </c>
      <c r="R8" s="9">
        <v>44964</v>
      </c>
      <c r="S8" s="8">
        <v>0</v>
      </c>
      <c r="T8" s="9">
        <v>44964</v>
      </c>
      <c r="U8" s="8">
        <v>0</v>
      </c>
      <c r="V8" s="9">
        <v>44964</v>
      </c>
      <c r="W8" s="8">
        <v>0</v>
      </c>
      <c r="X8" s="9">
        <v>44964</v>
      </c>
      <c r="Y8" s="8">
        <v>0</v>
      </c>
      <c r="Z8" s="9">
        <v>44964</v>
      </c>
      <c r="AA8" s="8">
        <v>0</v>
      </c>
      <c r="AB8" s="9">
        <v>44964</v>
      </c>
      <c r="AC8" s="8">
        <v>0</v>
      </c>
      <c r="AD8" s="8">
        <v>0</v>
      </c>
      <c r="AE8" s="8">
        <v>0</v>
      </c>
      <c r="AF8" s="9">
        <v>44964</v>
      </c>
      <c r="AG8" s="10" t="s">
        <v>189</v>
      </c>
      <c r="AH8" s="9">
        <v>44964</v>
      </c>
      <c r="AI8" s="10" t="s">
        <v>189</v>
      </c>
      <c r="AJ8" s="9">
        <v>44964</v>
      </c>
      <c r="AK8" s="5"/>
    </row>
    <row r="9" spans="1:37" ht="27" customHeight="1">
      <c r="A9" s="1">
        <v>6</v>
      </c>
      <c r="B9" s="5"/>
      <c r="C9" s="5"/>
      <c r="D9" s="5"/>
      <c r="E9" s="17" t="s">
        <v>408</v>
      </c>
      <c r="F9" s="17" t="s">
        <v>409</v>
      </c>
      <c r="G9" s="1"/>
      <c r="H9" s="18">
        <v>1</v>
      </c>
      <c r="I9" s="5"/>
      <c r="J9" s="1"/>
      <c r="K9" s="5"/>
      <c r="L9" s="6"/>
      <c r="M9" s="5"/>
      <c r="N9" s="19">
        <v>3.13</v>
      </c>
      <c r="O9" s="8">
        <v>1</v>
      </c>
      <c r="P9" s="9">
        <v>44964</v>
      </c>
      <c r="Q9" s="8">
        <v>0</v>
      </c>
      <c r="R9" s="9">
        <v>44964</v>
      </c>
      <c r="S9" s="8">
        <v>0</v>
      </c>
      <c r="T9" s="9">
        <v>44964</v>
      </c>
      <c r="U9" s="8">
        <v>0</v>
      </c>
      <c r="V9" s="9">
        <v>44964</v>
      </c>
      <c r="W9" s="8">
        <v>0</v>
      </c>
      <c r="X9" s="9">
        <v>44964</v>
      </c>
      <c r="Y9" s="8">
        <v>0</v>
      </c>
      <c r="Z9" s="9">
        <v>44964</v>
      </c>
      <c r="AA9" s="8">
        <v>0</v>
      </c>
      <c r="AB9" s="9">
        <v>44964</v>
      </c>
      <c r="AC9" s="8">
        <v>0</v>
      </c>
      <c r="AD9" s="8">
        <v>0</v>
      </c>
      <c r="AE9" s="8">
        <v>0</v>
      </c>
      <c r="AF9" s="9">
        <v>44964</v>
      </c>
      <c r="AG9" s="10" t="s">
        <v>189</v>
      </c>
      <c r="AH9" s="9">
        <v>44964</v>
      </c>
      <c r="AI9" s="10" t="s">
        <v>189</v>
      </c>
      <c r="AJ9" s="9">
        <v>44964</v>
      </c>
      <c r="AK9" s="5"/>
    </row>
    <row r="10" spans="1:37" ht="27" customHeight="1">
      <c r="A10" s="1">
        <v>7</v>
      </c>
      <c r="B10" s="5"/>
      <c r="C10" s="5"/>
      <c r="D10" s="5"/>
      <c r="E10" s="17" t="s">
        <v>410</v>
      </c>
      <c r="F10" s="20" t="s">
        <v>411</v>
      </c>
      <c r="G10" s="1"/>
      <c r="H10" s="18">
        <v>1</v>
      </c>
      <c r="I10" s="5"/>
      <c r="J10" s="1"/>
      <c r="K10" s="5"/>
      <c r="L10" s="6"/>
      <c r="M10" s="5"/>
      <c r="N10" s="19">
        <v>3.15</v>
      </c>
      <c r="O10" s="8">
        <v>1</v>
      </c>
      <c r="P10" s="9">
        <v>44964</v>
      </c>
      <c r="Q10" s="8">
        <v>0</v>
      </c>
      <c r="R10" s="9">
        <v>44964</v>
      </c>
      <c r="S10" s="8">
        <v>0</v>
      </c>
      <c r="T10" s="9">
        <v>44964</v>
      </c>
      <c r="U10" s="8">
        <v>0</v>
      </c>
      <c r="V10" s="9">
        <v>44964</v>
      </c>
      <c r="W10" s="8">
        <v>0</v>
      </c>
      <c r="X10" s="9">
        <v>44964</v>
      </c>
      <c r="Y10" s="8">
        <v>0</v>
      </c>
      <c r="Z10" s="9">
        <v>44964</v>
      </c>
      <c r="AA10" s="8">
        <v>0</v>
      </c>
      <c r="AB10" s="9">
        <v>44964</v>
      </c>
      <c r="AC10" s="8">
        <v>0</v>
      </c>
      <c r="AD10" s="8">
        <v>0</v>
      </c>
      <c r="AE10" s="8">
        <v>0</v>
      </c>
      <c r="AF10" s="9">
        <v>44964</v>
      </c>
      <c r="AG10" s="10" t="s">
        <v>189</v>
      </c>
      <c r="AH10" s="9">
        <v>44964</v>
      </c>
      <c r="AI10" s="10" t="s">
        <v>189</v>
      </c>
      <c r="AJ10" s="9">
        <v>44964</v>
      </c>
      <c r="AK10" s="5"/>
    </row>
    <row r="11" spans="1:37" ht="27" customHeight="1">
      <c r="A11" s="1">
        <v>8</v>
      </c>
      <c r="B11" s="5"/>
      <c r="C11" s="5"/>
      <c r="D11" s="5"/>
      <c r="E11" s="17" t="s">
        <v>412</v>
      </c>
      <c r="F11" s="20" t="s">
        <v>413</v>
      </c>
      <c r="G11" s="1"/>
      <c r="H11" s="18">
        <v>1</v>
      </c>
      <c r="I11" s="5"/>
      <c r="J11" s="1"/>
      <c r="K11" s="5"/>
      <c r="L11" s="6"/>
      <c r="M11" s="5"/>
      <c r="N11" s="19">
        <v>3.18</v>
      </c>
      <c r="O11" s="8">
        <v>1</v>
      </c>
      <c r="P11" s="9">
        <v>44964</v>
      </c>
      <c r="Q11" s="8">
        <v>0</v>
      </c>
      <c r="R11" s="9">
        <v>44964</v>
      </c>
      <c r="S11" s="8">
        <v>0</v>
      </c>
      <c r="T11" s="9">
        <v>44964</v>
      </c>
      <c r="U11" s="8">
        <v>0</v>
      </c>
      <c r="V11" s="9">
        <v>44964</v>
      </c>
      <c r="W11" s="8">
        <v>0</v>
      </c>
      <c r="X11" s="9">
        <v>44964</v>
      </c>
      <c r="Y11" s="8">
        <v>0</v>
      </c>
      <c r="Z11" s="9">
        <v>44964</v>
      </c>
      <c r="AA11" s="8">
        <v>0</v>
      </c>
      <c r="AB11" s="9">
        <v>44964</v>
      </c>
      <c r="AC11" s="8">
        <v>0</v>
      </c>
      <c r="AD11" s="8">
        <v>0</v>
      </c>
      <c r="AE11" s="8">
        <v>0</v>
      </c>
      <c r="AF11" s="9">
        <v>44964</v>
      </c>
      <c r="AG11" s="10" t="s">
        <v>189</v>
      </c>
      <c r="AH11" s="9">
        <v>44964</v>
      </c>
      <c r="AI11" s="10" t="s">
        <v>189</v>
      </c>
      <c r="AJ11" s="9">
        <v>44964</v>
      </c>
      <c r="AK11" s="5"/>
    </row>
    <row r="12" spans="1:37" ht="27" customHeight="1">
      <c r="A12" s="1">
        <v>9</v>
      </c>
      <c r="B12" s="5"/>
      <c r="C12" s="5"/>
      <c r="D12" s="5"/>
      <c r="E12" s="17" t="s">
        <v>414</v>
      </c>
      <c r="F12" s="20" t="s">
        <v>415</v>
      </c>
      <c r="G12" s="1"/>
      <c r="H12" s="18">
        <v>1</v>
      </c>
      <c r="I12" s="5"/>
      <c r="J12" s="1"/>
      <c r="K12" s="5"/>
      <c r="L12" s="6"/>
      <c r="M12" s="5"/>
      <c r="N12" s="19">
        <v>3.15</v>
      </c>
      <c r="O12" s="8">
        <v>1</v>
      </c>
      <c r="P12" s="9">
        <v>44964</v>
      </c>
      <c r="Q12" s="8">
        <v>0</v>
      </c>
      <c r="R12" s="9">
        <v>44964</v>
      </c>
      <c r="S12" s="8">
        <v>0</v>
      </c>
      <c r="T12" s="9">
        <v>44964</v>
      </c>
      <c r="U12" s="8">
        <v>0</v>
      </c>
      <c r="V12" s="9">
        <v>44964</v>
      </c>
      <c r="W12" s="8">
        <v>0</v>
      </c>
      <c r="X12" s="9">
        <v>44964</v>
      </c>
      <c r="Y12" s="8">
        <v>0</v>
      </c>
      <c r="Z12" s="9">
        <v>44964</v>
      </c>
      <c r="AA12" s="8">
        <v>0</v>
      </c>
      <c r="AB12" s="9">
        <v>44964</v>
      </c>
      <c r="AC12" s="8">
        <v>0</v>
      </c>
      <c r="AD12" s="8">
        <v>0</v>
      </c>
      <c r="AE12" s="8">
        <v>0</v>
      </c>
      <c r="AF12" s="9">
        <v>44964</v>
      </c>
      <c r="AG12" s="10" t="s">
        <v>189</v>
      </c>
      <c r="AH12" s="9">
        <v>44964</v>
      </c>
      <c r="AI12" s="10" t="s">
        <v>189</v>
      </c>
      <c r="AJ12" s="9">
        <v>44964</v>
      </c>
      <c r="AK12" s="5"/>
    </row>
    <row r="13" spans="1:37" ht="27" customHeight="1">
      <c r="A13" s="1">
        <v>10</v>
      </c>
      <c r="B13" s="5"/>
      <c r="C13" s="5"/>
      <c r="D13" s="5"/>
      <c r="E13" s="17" t="s">
        <v>416</v>
      </c>
      <c r="F13" s="17" t="s">
        <v>417</v>
      </c>
      <c r="G13" s="1"/>
      <c r="H13" s="18">
        <v>1</v>
      </c>
      <c r="I13" s="5"/>
      <c r="J13" s="1"/>
      <c r="K13" s="5"/>
      <c r="L13" s="6"/>
      <c r="M13" s="5"/>
      <c r="N13" s="19">
        <v>3.15</v>
      </c>
      <c r="O13" s="8">
        <v>1</v>
      </c>
      <c r="P13" s="9">
        <v>44964</v>
      </c>
      <c r="Q13" s="8">
        <v>0</v>
      </c>
      <c r="R13" s="9">
        <v>44964</v>
      </c>
      <c r="S13" s="8">
        <v>0</v>
      </c>
      <c r="T13" s="9">
        <v>44964</v>
      </c>
      <c r="U13" s="8">
        <v>0</v>
      </c>
      <c r="V13" s="9">
        <v>44964</v>
      </c>
      <c r="W13" s="8">
        <v>0</v>
      </c>
      <c r="X13" s="9">
        <v>44964</v>
      </c>
      <c r="Y13" s="8">
        <v>0</v>
      </c>
      <c r="Z13" s="9">
        <v>44964</v>
      </c>
      <c r="AA13" s="8">
        <v>0</v>
      </c>
      <c r="AB13" s="9">
        <v>44964</v>
      </c>
      <c r="AC13" s="8">
        <v>0</v>
      </c>
      <c r="AD13" s="8">
        <v>0</v>
      </c>
      <c r="AE13" s="8">
        <v>0</v>
      </c>
      <c r="AF13" s="9">
        <v>44964</v>
      </c>
      <c r="AG13" s="10" t="s">
        <v>189</v>
      </c>
      <c r="AH13" s="9">
        <v>44964</v>
      </c>
      <c r="AI13" s="10" t="s">
        <v>189</v>
      </c>
      <c r="AJ13" s="9">
        <v>44964</v>
      </c>
      <c r="AK13" s="5"/>
    </row>
    <row r="14" spans="1:37" ht="27" customHeight="1">
      <c r="A14" s="1">
        <v>11</v>
      </c>
      <c r="B14" s="5"/>
      <c r="C14" s="5"/>
      <c r="D14" s="5"/>
      <c r="E14" s="17" t="s">
        <v>418</v>
      </c>
      <c r="F14" s="17" t="s">
        <v>419</v>
      </c>
      <c r="G14" s="1"/>
      <c r="H14" s="18">
        <v>1</v>
      </c>
      <c r="I14" s="5"/>
      <c r="J14" s="1"/>
      <c r="K14" s="5"/>
      <c r="L14" s="6"/>
      <c r="M14" s="5"/>
      <c r="N14" s="19">
        <v>3.15</v>
      </c>
      <c r="O14" s="8">
        <v>1</v>
      </c>
      <c r="P14" s="9">
        <v>44964</v>
      </c>
      <c r="Q14" s="8">
        <v>0</v>
      </c>
      <c r="R14" s="9">
        <v>44964</v>
      </c>
      <c r="S14" s="8">
        <v>0</v>
      </c>
      <c r="T14" s="9">
        <v>44964</v>
      </c>
      <c r="U14" s="8">
        <v>0</v>
      </c>
      <c r="V14" s="9">
        <v>44964</v>
      </c>
      <c r="W14" s="8">
        <v>0</v>
      </c>
      <c r="X14" s="9">
        <v>44964</v>
      </c>
      <c r="Y14" s="8">
        <v>0</v>
      </c>
      <c r="Z14" s="9">
        <v>44964</v>
      </c>
      <c r="AA14" s="8">
        <v>0</v>
      </c>
      <c r="AB14" s="9">
        <v>44964</v>
      </c>
      <c r="AC14" s="8">
        <v>0</v>
      </c>
      <c r="AD14" s="8">
        <v>0</v>
      </c>
      <c r="AE14" s="8">
        <v>0</v>
      </c>
      <c r="AF14" s="9">
        <v>44964</v>
      </c>
      <c r="AG14" s="10" t="s">
        <v>189</v>
      </c>
      <c r="AH14" s="9">
        <v>44964</v>
      </c>
      <c r="AI14" s="10" t="s">
        <v>189</v>
      </c>
      <c r="AJ14" s="9">
        <v>44964</v>
      </c>
      <c r="AK14" s="5"/>
    </row>
    <row r="15" spans="1:37" ht="27" customHeight="1">
      <c r="A15" s="1">
        <v>12</v>
      </c>
      <c r="B15" s="5"/>
      <c r="C15" s="5"/>
      <c r="D15" s="5"/>
      <c r="E15" s="17" t="s">
        <v>420</v>
      </c>
      <c r="F15" s="17" t="s">
        <v>421</v>
      </c>
      <c r="G15" s="1"/>
      <c r="H15" s="18">
        <v>1</v>
      </c>
      <c r="I15" s="5"/>
      <c r="J15" s="1"/>
      <c r="K15" s="5"/>
      <c r="L15" s="6"/>
      <c r="M15" s="5"/>
      <c r="N15" s="19">
        <v>3.15</v>
      </c>
      <c r="O15" s="8">
        <v>1</v>
      </c>
      <c r="P15" s="9">
        <v>44964</v>
      </c>
      <c r="Q15" s="8">
        <v>0</v>
      </c>
      <c r="R15" s="9">
        <v>44964</v>
      </c>
      <c r="S15" s="8">
        <v>0</v>
      </c>
      <c r="T15" s="9">
        <v>44964</v>
      </c>
      <c r="U15" s="8">
        <v>0</v>
      </c>
      <c r="V15" s="9">
        <v>44964</v>
      </c>
      <c r="W15" s="8">
        <v>0</v>
      </c>
      <c r="X15" s="9">
        <v>44964</v>
      </c>
      <c r="Y15" s="8">
        <v>0</v>
      </c>
      <c r="Z15" s="9">
        <v>44964</v>
      </c>
      <c r="AA15" s="8">
        <v>0</v>
      </c>
      <c r="AB15" s="9">
        <v>44964</v>
      </c>
      <c r="AC15" s="8">
        <v>0</v>
      </c>
      <c r="AD15" s="8">
        <v>0</v>
      </c>
      <c r="AE15" s="8">
        <v>0</v>
      </c>
      <c r="AF15" s="9">
        <v>44964</v>
      </c>
      <c r="AG15" s="10" t="s">
        <v>189</v>
      </c>
      <c r="AH15" s="9">
        <v>44964</v>
      </c>
      <c r="AI15" s="10" t="s">
        <v>189</v>
      </c>
      <c r="AJ15" s="9">
        <v>44964</v>
      </c>
      <c r="AK15" s="5"/>
    </row>
    <row r="16" spans="1:37" ht="27" customHeight="1">
      <c r="A16" s="1">
        <v>13</v>
      </c>
      <c r="B16" s="5"/>
      <c r="C16" s="5"/>
      <c r="D16" s="5"/>
      <c r="E16" s="17" t="s">
        <v>422</v>
      </c>
      <c r="F16" s="17" t="s">
        <v>423</v>
      </c>
      <c r="G16" s="1"/>
      <c r="H16" s="18">
        <v>1</v>
      </c>
      <c r="I16" s="5"/>
      <c r="J16" s="1"/>
      <c r="K16" s="5"/>
      <c r="L16" s="6"/>
      <c r="M16" s="5"/>
      <c r="N16" s="19">
        <v>3.15</v>
      </c>
      <c r="O16" s="8">
        <v>1</v>
      </c>
      <c r="P16" s="9">
        <v>44964</v>
      </c>
      <c r="Q16" s="8">
        <v>0</v>
      </c>
      <c r="R16" s="9">
        <v>44964</v>
      </c>
      <c r="S16" s="8">
        <v>0</v>
      </c>
      <c r="T16" s="9">
        <v>44964</v>
      </c>
      <c r="U16" s="8">
        <v>0</v>
      </c>
      <c r="V16" s="9">
        <v>44964</v>
      </c>
      <c r="W16" s="8">
        <v>0</v>
      </c>
      <c r="X16" s="9">
        <v>44964</v>
      </c>
      <c r="Y16" s="8">
        <v>0</v>
      </c>
      <c r="Z16" s="9">
        <v>44964</v>
      </c>
      <c r="AA16" s="8">
        <v>0</v>
      </c>
      <c r="AB16" s="9">
        <v>44964</v>
      </c>
      <c r="AC16" s="8">
        <v>0</v>
      </c>
      <c r="AD16" s="8">
        <v>0</v>
      </c>
      <c r="AE16" s="8">
        <v>0</v>
      </c>
      <c r="AF16" s="9">
        <v>44964</v>
      </c>
      <c r="AG16" s="10" t="s">
        <v>189</v>
      </c>
      <c r="AH16" s="9">
        <v>44964</v>
      </c>
      <c r="AI16" s="10" t="s">
        <v>189</v>
      </c>
      <c r="AJ16" s="9">
        <v>44964</v>
      </c>
      <c r="AK16" s="5"/>
    </row>
    <row r="17" spans="1:37" ht="27" customHeight="1">
      <c r="A17" s="1">
        <v>14</v>
      </c>
      <c r="B17" s="5"/>
      <c r="C17" s="5"/>
      <c r="D17" s="5"/>
      <c r="E17" s="17" t="s">
        <v>424</v>
      </c>
      <c r="F17" s="17" t="s">
        <v>425</v>
      </c>
      <c r="G17" s="1"/>
      <c r="H17" s="18">
        <v>1</v>
      </c>
      <c r="I17" s="5"/>
      <c r="J17" s="1"/>
      <c r="K17" s="5"/>
      <c r="L17" s="6"/>
      <c r="M17" s="5"/>
      <c r="N17" s="19">
        <v>3.15</v>
      </c>
      <c r="O17" s="8">
        <v>1</v>
      </c>
      <c r="P17" s="9">
        <v>44964</v>
      </c>
      <c r="Q17" s="8">
        <v>0</v>
      </c>
      <c r="R17" s="9">
        <v>44964</v>
      </c>
      <c r="S17" s="8">
        <v>0</v>
      </c>
      <c r="T17" s="9">
        <v>44964</v>
      </c>
      <c r="U17" s="8">
        <v>0</v>
      </c>
      <c r="V17" s="9">
        <v>44964</v>
      </c>
      <c r="W17" s="8">
        <v>0</v>
      </c>
      <c r="X17" s="9">
        <v>44964</v>
      </c>
      <c r="Y17" s="8">
        <v>0</v>
      </c>
      <c r="Z17" s="9">
        <v>44964</v>
      </c>
      <c r="AA17" s="8">
        <v>0</v>
      </c>
      <c r="AB17" s="9">
        <v>44964</v>
      </c>
      <c r="AC17" s="8">
        <v>0</v>
      </c>
      <c r="AD17" s="8">
        <v>0</v>
      </c>
      <c r="AE17" s="8">
        <v>0</v>
      </c>
      <c r="AF17" s="9">
        <v>44964</v>
      </c>
      <c r="AG17" s="10" t="s">
        <v>189</v>
      </c>
      <c r="AH17" s="9">
        <v>44964</v>
      </c>
      <c r="AI17" s="10" t="s">
        <v>189</v>
      </c>
      <c r="AJ17" s="9">
        <v>44964</v>
      </c>
      <c r="AK17" s="5"/>
    </row>
    <row r="18" spans="1:37" ht="27" customHeight="1">
      <c r="A18" s="1">
        <v>15</v>
      </c>
      <c r="B18" s="5"/>
      <c r="C18" s="5"/>
      <c r="D18" s="5"/>
      <c r="E18" s="17" t="s">
        <v>426</v>
      </c>
      <c r="F18" s="17" t="s">
        <v>427</v>
      </c>
      <c r="G18" s="1"/>
      <c r="H18" s="18">
        <v>1</v>
      </c>
      <c r="I18" s="5"/>
      <c r="J18" s="1"/>
      <c r="K18" s="5"/>
      <c r="L18" s="6"/>
      <c r="M18" s="5"/>
      <c r="N18" s="19">
        <v>3.15</v>
      </c>
      <c r="O18" s="8">
        <v>1</v>
      </c>
      <c r="P18" s="9">
        <v>44964</v>
      </c>
      <c r="Q18" s="8">
        <v>0</v>
      </c>
      <c r="R18" s="9">
        <v>44964</v>
      </c>
      <c r="S18" s="8">
        <v>0</v>
      </c>
      <c r="T18" s="9">
        <v>44964</v>
      </c>
      <c r="U18" s="8">
        <v>0</v>
      </c>
      <c r="V18" s="9">
        <v>44964</v>
      </c>
      <c r="W18" s="8">
        <v>0</v>
      </c>
      <c r="X18" s="9">
        <v>44964</v>
      </c>
      <c r="Y18" s="8">
        <v>0</v>
      </c>
      <c r="Z18" s="9">
        <v>44964</v>
      </c>
      <c r="AA18" s="8">
        <v>0</v>
      </c>
      <c r="AB18" s="9">
        <v>44964</v>
      </c>
      <c r="AC18" s="8">
        <v>0</v>
      </c>
      <c r="AD18" s="8">
        <v>0</v>
      </c>
      <c r="AE18" s="8">
        <v>0</v>
      </c>
      <c r="AF18" s="9">
        <v>44964</v>
      </c>
      <c r="AG18" s="10" t="s">
        <v>189</v>
      </c>
      <c r="AH18" s="9">
        <v>44964</v>
      </c>
      <c r="AI18" s="10" t="s">
        <v>189</v>
      </c>
      <c r="AJ18" s="9">
        <v>44964</v>
      </c>
      <c r="AK18" s="5"/>
    </row>
    <row r="19" spans="1:37" ht="27" customHeight="1">
      <c r="A19" s="1">
        <v>16</v>
      </c>
      <c r="B19" s="5"/>
      <c r="C19" s="5"/>
      <c r="D19" s="5"/>
      <c r="E19" s="17" t="s">
        <v>428</v>
      </c>
      <c r="F19" s="17" t="s">
        <v>429</v>
      </c>
      <c r="G19" s="1"/>
      <c r="H19" s="18">
        <v>1</v>
      </c>
      <c r="I19" s="5"/>
      <c r="J19" s="1"/>
      <c r="K19" s="5"/>
      <c r="L19" s="6"/>
      <c r="M19" s="5"/>
      <c r="N19" s="19">
        <v>3.15</v>
      </c>
      <c r="O19" s="8">
        <v>1</v>
      </c>
      <c r="P19" s="9">
        <v>44964</v>
      </c>
      <c r="Q19" s="8">
        <v>0</v>
      </c>
      <c r="R19" s="9">
        <v>44964</v>
      </c>
      <c r="S19" s="8">
        <v>0</v>
      </c>
      <c r="T19" s="9">
        <v>44964</v>
      </c>
      <c r="U19" s="8">
        <v>0</v>
      </c>
      <c r="V19" s="9">
        <v>44964</v>
      </c>
      <c r="W19" s="8">
        <v>0</v>
      </c>
      <c r="X19" s="9">
        <v>44964</v>
      </c>
      <c r="Y19" s="8">
        <v>0</v>
      </c>
      <c r="Z19" s="9">
        <v>44964</v>
      </c>
      <c r="AA19" s="8">
        <v>0</v>
      </c>
      <c r="AB19" s="9">
        <v>44964</v>
      </c>
      <c r="AC19" s="8">
        <v>0</v>
      </c>
      <c r="AD19" s="8">
        <v>0</v>
      </c>
      <c r="AE19" s="8">
        <v>0</v>
      </c>
      <c r="AF19" s="9">
        <v>44964</v>
      </c>
      <c r="AG19" s="10" t="s">
        <v>189</v>
      </c>
      <c r="AH19" s="9">
        <v>44964</v>
      </c>
      <c r="AI19" s="10" t="s">
        <v>189</v>
      </c>
      <c r="AJ19" s="9">
        <v>44964</v>
      </c>
      <c r="AK19" s="5"/>
    </row>
    <row r="20" spans="1:37" ht="27" customHeight="1">
      <c r="A20" s="1">
        <v>17</v>
      </c>
      <c r="B20" s="5"/>
      <c r="C20" s="5"/>
      <c r="D20" s="5"/>
      <c r="E20" s="17" t="s">
        <v>430</v>
      </c>
      <c r="F20" s="17" t="s">
        <v>431</v>
      </c>
      <c r="G20" s="1"/>
      <c r="H20" s="18">
        <v>1</v>
      </c>
      <c r="I20" s="5"/>
      <c r="J20" s="1"/>
      <c r="K20" s="5"/>
      <c r="L20" s="6"/>
      <c r="M20" s="5"/>
      <c r="N20" s="19">
        <v>3.18</v>
      </c>
      <c r="O20" s="8">
        <v>1</v>
      </c>
      <c r="P20" s="9">
        <v>44964</v>
      </c>
      <c r="Q20" s="8">
        <v>0</v>
      </c>
      <c r="R20" s="9">
        <v>44964</v>
      </c>
      <c r="S20" s="8">
        <v>0</v>
      </c>
      <c r="T20" s="9">
        <v>44964</v>
      </c>
      <c r="U20" s="8">
        <v>0</v>
      </c>
      <c r="V20" s="9">
        <v>44964</v>
      </c>
      <c r="W20" s="8">
        <v>0</v>
      </c>
      <c r="X20" s="9">
        <v>44964</v>
      </c>
      <c r="Y20" s="8">
        <v>0</v>
      </c>
      <c r="Z20" s="9">
        <v>44964</v>
      </c>
      <c r="AA20" s="8">
        <v>0</v>
      </c>
      <c r="AB20" s="9">
        <v>44964</v>
      </c>
      <c r="AC20" s="8">
        <v>0</v>
      </c>
      <c r="AD20" s="8">
        <v>0</v>
      </c>
      <c r="AE20" s="8">
        <v>0</v>
      </c>
      <c r="AF20" s="9">
        <v>44964</v>
      </c>
      <c r="AG20" s="10" t="s">
        <v>189</v>
      </c>
      <c r="AH20" s="9">
        <v>44964</v>
      </c>
      <c r="AI20" s="10" t="s">
        <v>189</v>
      </c>
      <c r="AJ20" s="9">
        <v>44964</v>
      </c>
      <c r="AK20" s="5"/>
    </row>
    <row r="21" spans="1:37" ht="27" customHeight="1">
      <c r="A21" s="1">
        <v>18</v>
      </c>
      <c r="B21" s="5"/>
      <c r="C21" s="5"/>
      <c r="D21" s="5"/>
      <c r="E21" s="17" t="s">
        <v>432</v>
      </c>
      <c r="F21" s="17" t="s">
        <v>433</v>
      </c>
      <c r="G21" s="1"/>
      <c r="H21" s="18">
        <v>1</v>
      </c>
      <c r="I21" s="5"/>
      <c r="J21" s="1"/>
      <c r="K21" s="5"/>
      <c r="L21" s="6"/>
      <c r="M21" s="5"/>
      <c r="N21" s="19">
        <v>3.15</v>
      </c>
      <c r="O21" s="8">
        <v>1</v>
      </c>
      <c r="P21" s="9">
        <v>44964</v>
      </c>
      <c r="Q21" s="8">
        <v>0</v>
      </c>
      <c r="R21" s="9">
        <v>44964</v>
      </c>
      <c r="S21" s="8">
        <v>0</v>
      </c>
      <c r="T21" s="9">
        <v>44964</v>
      </c>
      <c r="U21" s="8">
        <v>0</v>
      </c>
      <c r="V21" s="9">
        <v>44964</v>
      </c>
      <c r="W21" s="8">
        <v>0</v>
      </c>
      <c r="X21" s="9">
        <v>44964</v>
      </c>
      <c r="Y21" s="8">
        <v>0</v>
      </c>
      <c r="Z21" s="9">
        <v>44964</v>
      </c>
      <c r="AA21" s="8">
        <v>0</v>
      </c>
      <c r="AB21" s="9">
        <v>44964</v>
      </c>
      <c r="AC21" s="8">
        <v>0</v>
      </c>
      <c r="AD21" s="8">
        <v>0</v>
      </c>
      <c r="AE21" s="8">
        <v>0</v>
      </c>
      <c r="AF21" s="9">
        <v>44964</v>
      </c>
      <c r="AG21" s="10" t="s">
        <v>189</v>
      </c>
      <c r="AH21" s="9">
        <v>44964</v>
      </c>
      <c r="AI21" s="10" t="s">
        <v>189</v>
      </c>
      <c r="AJ21" s="9">
        <v>44964</v>
      </c>
      <c r="AK21" s="5"/>
    </row>
    <row r="22" spans="1:37" ht="27" customHeight="1">
      <c r="A22" s="1">
        <v>19</v>
      </c>
      <c r="B22" s="5"/>
      <c r="C22" s="5"/>
      <c r="D22" s="5"/>
      <c r="E22" s="17" t="s">
        <v>434</v>
      </c>
      <c r="F22" s="17" t="s">
        <v>435</v>
      </c>
      <c r="G22" s="1"/>
      <c r="H22" s="18">
        <v>1</v>
      </c>
      <c r="I22" s="5"/>
      <c r="J22" s="1"/>
      <c r="K22" s="5"/>
      <c r="L22" s="6"/>
      <c r="M22" s="5"/>
      <c r="N22" s="19">
        <v>3.15</v>
      </c>
      <c r="O22" s="8">
        <v>1</v>
      </c>
      <c r="P22" s="9">
        <v>44964</v>
      </c>
      <c r="Q22" s="8">
        <v>0</v>
      </c>
      <c r="R22" s="9">
        <v>44964</v>
      </c>
      <c r="S22" s="8">
        <v>0</v>
      </c>
      <c r="T22" s="9">
        <v>44964</v>
      </c>
      <c r="U22" s="8">
        <v>0</v>
      </c>
      <c r="V22" s="9">
        <v>44964</v>
      </c>
      <c r="W22" s="8">
        <v>0</v>
      </c>
      <c r="X22" s="9">
        <v>44964</v>
      </c>
      <c r="Y22" s="8">
        <v>0</v>
      </c>
      <c r="Z22" s="9">
        <v>44964</v>
      </c>
      <c r="AA22" s="8">
        <v>0</v>
      </c>
      <c r="AB22" s="9">
        <v>44964</v>
      </c>
      <c r="AC22" s="8">
        <v>0</v>
      </c>
      <c r="AD22" s="8">
        <v>0</v>
      </c>
      <c r="AE22" s="8">
        <v>0</v>
      </c>
      <c r="AF22" s="9">
        <v>44964</v>
      </c>
      <c r="AG22" s="10" t="s">
        <v>189</v>
      </c>
      <c r="AH22" s="9">
        <v>44964</v>
      </c>
      <c r="AI22" s="10" t="s">
        <v>189</v>
      </c>
      <c r="AJ22" s="9">
        <v>44964</v>
      </c>
      <c r="AK22" s="5"/>
    </row>
    <row r="23" spans="1:37" ht="27" customHeight="1">
      <c r="A23" s="1">
        <v>20</v>
      </c>
      <c r="B23" s="5"/>
      <c r="C23" s="5"/>
      <c r="D23" s="5"/>
      <c r="E23" s="17" t="s">
        <v>436</v>
      </c>
      <c r="F23" s="17" t="s">
        <v>437</v>
      </c>
      <c r="G23" s="1"/>
      <c r="H23" s="18">
        <v>1</v>
      </c>
      <c r="I23" s="5"/>
      <c r="J23" s="1"/>
      <c r="K23" s="5"/>
      <c r="L23" s="6"/>
      <c r="M23" s="5"/>
      <c r="N23" s="19">
        <v>3.15</v>
      </c>
      <c r="O23" s="8">
        <v>1</v>
      </c>
      <c r="P23" s="9">
        <v>44964</v>
      </c>
      <c r="Q23" s="8">
        <v>0</v>
      </c>
      <c r="R23" s="9">
        <v>44964</v>
      </c>
      <c r="S23" s="8">
        <v>0</v>
      </c>
      <c r="T23" s="9">
        <v>44964</v>
      </c>
      <c r="U23" s="8">
        <v>0</v>
      </c>
      <c r="V23" s="9">
        <v>44964</v>
      </c>
      <c r="W23" s="8">
        <v>0</v>
      </c>
      <c r="X23" s="9">
        <v>44964</v>
      </c>
      <c r="Y23" s="8">
        <v>0</v>
      </c>
      <c r="Z23" s="9">
        <v>44964</v>
      </c>
      <c r="AA23" s="8">
        <v>0</v>
      </c>
      <c r="AB23" s="9">
        <v>44964</v>
      </c>
      <c r="AC23" s="8">
        <v>0</v>
      </c>
      <c r="AD23" s="8">
        <v>0</v>
      </c>
      <c r="AE23" s="8">
        <v>0</v>
      </c>
      <c r="AF23" s="9">
        <v>44964</v>
      </c>
      <c r="AG23" s="10" t="s">
        <v>189</v>
      </c>
      <c r="AH23" s="9">
        <v>44964</v>
      </c>
      <c r="AI23" s="10" t="s">
        <v>189</v>
      </c>
      <c r="AJ23" s="9">
        <v>44964</v>
      </c>
      <c r="AK23" s="5"/>
    </row>
    <row r="24" spans="1:37" ht="27" customHeight="1">
      <c r="A24" s="1">
        <v>21</v>
      </c>
      <c r="B24" s="5"/>
      <c r="C24" s="5"/>
      <c r="D24" s="5"/>
      <c r="E24" s="17" t="s">
        <v>438</v>
      </c>
      <c r="F24" s="17" t="s">
        <v>439</v>
      </c>
      <c r="G24" s="1"/>
      <c r="H24" s="21">
        <v>1</v>
      </c>
      <c r="I24" s="5"/>
      <c r="J24" s="1"/>
      <c r="K24" s="5"/>
      <c r="L24" s="6"/>
      <c r="M24" s="5"/>
      <c r="N24" s="22">
        <v>3.15</v>
      </c>
      <c r="O24" s="8">
        <v>1</v>
      </c>
      <c r="P24" s="9">
        <v>44964</v>
      </c>
      <c r="Q24" s="8">
        <v>0</v>
      </c>
      <c r="R24" s="9">
        <v>44964</v>
      </c>
      <c r="S24" s="8">
        <v>0</v>
      </c>
      <c r="T24" s="9">
        <v>44964</v>
      </c>
      <c r="U24" s="8">
        <v>0</v>
      </c>
      <c r="V24" s="9">
        <v>44964</v>
      </c>
      <c r="W24" s="8">
        <v>0</v>
      </c>
      <c r="X24" s="9">
        <v>44964</v>
      </c>
      <c r="Y24" s="8">
        <v>0</v>
      </c>
      <c r="Z24" s="9">
        <v>44964</v>
      </c>
      <c r="AA24" s="8">
        <v>0</v>
      </c>
      <c r="AB24" s="9">
        <v>44964</v>
      </c>
      <c r="AC24" s="8">
        <v>0</v>
      </c>
      <c r="AD24" s="8">
        <v>0</v>
      </c>
      <c r="AE24" s="8">
        <v>0</v>
      </c>
      <c r="AF24" s="9">
        <v>44964</v>
      </c>
      <c r="AG24" s="10" t="s">
        <v>189</v>
      </c>
      <c r="AH24" s="9">
        <v>44964</v>
      </c>
      <c r="AI24" s="10" t="s">
        <v>189</v>
      </c>
      <c r="AJ24" s="9">
        <v>44964</v>
      </c>
      <c r="AK24" s="5"/>
    </row>
    <row r="25" spans="1:37" ht="27" customHeight="1">
      <c r="A25" s="1">
        <v>22</v>
      </c>
      <c r="B25" s="5"/>
      <c r="C25" s="5"/>
      <c r="D25" s="5"/>
      <c r="E25" s="17" t="s">
        <v>440</v>
      </c>
      <c r="F25" s="17" t="s">
        <v>441</v>
      </c>
      <c r="G25" s="1"/>
      <c r="H25" s="18">
        <v>1</v>
      </c>
      <c r="I25" s="5"/>
      <c r="J25" s="1"/>
      <c r="K25" s="5"/>
      <c r="L25" s="6"/>
      <c r="M25" s="5"/>
      <c r="N25" s="19">
        <v>3.14</v>
      </c>
      <c r="O25" s="8">
        <v>1</v>
      </c>
      <c r="P25" s="9">
        <v>44964</v>
      </c>
      <c r="Q25" s="8">
        <v>0</v>
      </c>
      <c r="R25" s="9">
        <v>44964</v>
      </c>
      <c r="S25" s="8">
        <v>0</v>
      </c>
      <c r="T25" s="9">
        <v>44964</v>
      </c>
      <c r="U25" s="8">
        <v>0</v>
      </c>
      <c r="V25" s="9">
        <v>44964</v>
      </c>
      <c r="W25" s="8">
        <v>0</v>
      </c>
      <c r="X25" s="9">
        <v>44964</v>
      </c>
      <c r="Y25" s="8">
        <v>0</v>
      </c>
      <c r="Z25" s="9">
        <v>44964</v>
      </c>
      <c r="AA25" s="8">
        <v>0</v>
      </c>
      <c r="AB25" s="9">
        <v>44964</v>
      </c>
      <c r="AC25" s="8">
        <v>0</v>
      </c>
      <c r="AD25" s="8">
        <v>0</v>
      </c>
      <c r="AE25" s="8">
        <v>0</v>
      </c>
      <c r="AF25" s="9">
        <v>44964</v>
      </c>
      <c r="AG25" s="10" t="s">
        <v>189</v>
      </c>
      <c r="AH25" s="9">
        <v>44964</v>
      </c>
      <c r="AI25" s="10" t="s">
        <v>189</v>
      </c>
      <c r="AJ25" s="9">
        <v>44964</v>
      </c>
      <c r="AK25" s="5"/>
    </row>
    <row r="26" spans="1:37" ht="27" customHeight="1">
      <c r="A26" s="1">
        <v>23</v>
      </c>
      <c r="B26" s="5"/>
      <c r="C26" s="5"/>
      <c r="D26" s="5"/>
      <c r="E26" s="17" t="s">
        <v>442</v>
      </c>
      <c r="F26" s="17" t="s">
        <v>443</v>
      </c>
      <c r="G26" s="1"/>
      <c r="H26" s="18">
        <v>1</v>
      </c>
      <c r="I26" s="5"/>
      <c r="J26" s="1"/>
      <c r="K26" s="5"/>
      <c r="L26" s="6"/>
      <c r="M26" s="5"/>
      <c r="N26" s="19">
        <v>3.14</v>
      </c>
      <c r="O26" s="8">
        <v>1</v>
      </c>
      <c r="P26" s="9">
        <v>44964</v>
      </c>
      <c r="Q26" s="8">
        <v>0</v>
      </c>
      <c r="R26" s="9">
        <v>44964</v>
      </c>
      <c r="S26" s="8">
        <v>0</v>
      </c>
      <c r="T26" s="9">
        <v>44964</v>
      </c>
      <c r="U26" s="8">
        <v>0</v>
      </c>
      <c r="V26" s="9">
        <v>44964</v>
      </c>
      <c r="W26" s="8">
        <v>0</v>
      </c>
      <c r="X26" s="9">
        <v>44964</v>
      </c>
      <c r="Y26" s="8">
        <v>0</v>
      </c>
      <c r="Z26" s="9">
        <v>44964</v>
      </c>
      <c r="AA26" s="8">
        <v>0</v>
      </c>
      <c r="AB26" s="9">
        <v>44964</v>
      </c>
      <c r="AC26" s="8">
        <v>0</v>
      </c>
      <c r="AD26" s="8">
        <v>0</v>
      </c>
      <c r="AE26" s="8">
        <v>0</v>
      </c>
      <c r="AF26" s="9">
        <v>44964</v>
      </c>
      <c r="AG26" s="10" t="s">
        <v>189</v>
      </c>
      <c r="AH26" s="9">
        <v>44964</v>
      </c>
      <c r="AI26" s="10" t="s">
        <v>189</v>
      </c>
      <c r="AJ26" s="9">
        <v>44964</v>
      </c>
      <c r="AK26" s="5"/>
    </row>
    <row r="27" spans="1:37" ht="27" customHeight="1">
      <c r="A27" s="1">
        <v>24</v>
      </c>
      <c r="B27" s="5"/>
      <c r="C27" s="5"/>
      <c r="D27" s="5"/>
      <c r="E27" s="17" t="s">
        <v>444</v>
      </c>
      <c r="F27" s="17" t="s">
        <v>445</v>
      </c>
      <c r="G27" s="1"/>
      <c r="H27" s="18">
        <v>1</v>
      </c>
      <c r="I27" s="5"/>
      <c r="J27" s="1"/>
      <c r="K27" s="5"/>
      <c r="L27" s="6"/>
      <c r="M27" s="5"/>
      <c r="N27" s="23">
        <v>3.12</v>
      </c>
      <c r="O27" s="8">
        <v>1</v>
      </c>
      <c r="P27" s="9">
        <v>44964</v>
      </c>
      <c r="Q27" s="8">
        <v>0</v>
      </c>
      <c r="R27" s="9">
        <v>44964</v>
      </c>
      <c r="S27" s="8">
        <v>0</v>
      </c>
      <c r="T27" s="9">
        <v>44964</v>
      </c>
      <c r="U27" s="8">
        <v>0</v>
      </c>
      <c r="V27" s="9">
        <v>44964</v>
      </c>
      <c r="W27" s="8">
        <v>0</v>
      </c>
      <c r="X27" s="9">
        <v>44964</v>
      </c>
      <c r="Y27" s="8">
        <v>0</v>
      </c>
      <c r="Z27" s="9">
        <v>44964</v>
      </c>
      <c r="AA27" s="8">
        <v>0</v>
      </c>
      <c r="AB27" s="9">
        <v>44964</v>
      </c>
      <c r="AC27" s="8">
        <v>0</v>
      </c>
      <c r="AD27" s="8">
        <v>0</v>
      </c>
      <c r="AE27" s="8">
        <v>0</v>
      </c>
      <c r="AF27" s="9">
        <v>44964</v>
      </c>
      <c r="AG27" s="10" t="s">
        <v>189</v>
      </c>
      <c r="AH27" s="9">
        <v>44964</v>
      </c>
      <c r="AI27" s="10" t="s">
        <v>189</v>
      </c>
      <c r="AJ27" s="9">
        <v>44964</v>
      </c>
      <c r="AK27" s="5"/>
    </row>
    <row r="28" spans="1:37" ht="27" customHeight="1">
      <c r="A28" s="1">
        <v>25</v>
      </c>
      <c r="B28" s="5"/>
      <c r="C28" s="5"/>
      <c r="D28" s="5"/>
      <c r="E28" s="17" t="s">
        <v>446</v>
      </c>
      <c r="F28" s="17" t="s">
        <v>447</v>
      </c>
      <c r="G28" s="1"/>
      <c r="H28" s="18">
        <v>1</v>
      </c>
      <c r="I28" s="5"/>
      <c r="J28" s="1"/>
      <c r="K28" s="5"/>
      <c r="L28" s="6"/>
      <c r="M28" s="5"/>
      <c r="N28" s="23">
        <v>3.12</v>
      </c>
      <c r="O28" s="8">
        <v>1</v>
      </c>
      <c r="P28" s="9">
        <v>44964</v>
      </c>
      <c r="Q28" s="8">
        <v>0</v>
      </c>
      <c r="R28" s="9">
        <v>44964</v>
      </c>
      <c r="S28" s="8">
        <v>0</v>
      </c>
      <c r="T28" s="9">
        <v>44964</v>
      </c>
      <c r="U28" s="8">
        <v>0</v>
      </c>
      <c r="V28" s="9">
        <v>44964</v>
      </c>
      <c r="W28" s="8">
        <v>0</v>
      </c>
      <c r="X28" s="9">
        <v>44964</v>
      </c>
      <c r="Y28" s="8">
        <v>0</v>
      </c>
      <c r="Z28" s="9">
        <v>44964</v>
      </c>
      <c r="AA28" s="8">
        <v>0</v>
      </c>
      <c r="AB28" s="9">
        <v>44964</v>
      </c>
      <c r="AC28" s="8">
        <v>0</v>
      </c>
      <c r="AD28" s="8">
        <v>0</v>
      </c>
      <c r="AE28" s="8">
        <v>0</v>
      </c>
      <c r="AF28" s="9">
        <v>44964</v>
      </c>
      <c r="AG28" s="10" t="s">
        <v>189</v>
      </c>
      <c r="AH28" s="9">
        <v>44964</v>
      </c>
      <c r="AI28" s="10" t="s">
        <v>189</v>
      </c>
      <c r="AJ28" s="9">
        <v>44964</v>
      </c>
      <c r="AK28" s="5"/>
    </row>
    <row r="29" spans="1:37" ht="27" customHeight="1">
      <c r="A29" s="1">
        <v>26</v>
      </c>
      <c r="B29" s="5"/>
      <c r="C29" s="5"/>
      <c r="D29" s="5"/>
      <c r="E29" s="17" t="s">
        <v>448</v>
      </c>
      <c r="F29" s="17" t="s">
        <v>449</v>
      </c>
      <c r="G29" s="1"/>
      <c r="H29" s="18">
        <v>1</v>
      </c>
      <c r="I29" s="5"/>
      <c r="J29" s="1"/>
      <c r="K29" s="5"/>
      <c r="L29" s="6"/>
      <c r="M29" s="5"/>
      <c r="N29" s="19">
        <v>3.14</v>
      </c>
      <c r="O29" s="8">
        <v>1</v>
      </c>
      <c r="P29" s="9">
        <v>44964</v>
      </c>
      <c r="Q29" s="8">
        <v>0</v>
      </c>
      <c r="R29" s="9">
        <v>44964</v>
      </c>
      <c r="S29" s="8">
        <v>0</v>
      </c>
      <c r="T29" s="9">
        <v>44964</v>
      </c>
      <c r="U29" s="8">
        <v>0</v>
      </c>
      <c r="V29" s="9">
        <v>44964</v>
      </c>
      <c r="W29" s="8">
        <v>0</v>
      </c>
      <c r="X29" s="9">
        <v>44964</v>
      </c>
      <c r="Y29" s="8">
        <v>0</v>
      </c>
      <c r="Z29" s="9">
        <v>44964</v>
      </c>
      <c r="AA29" s="8">
        <v>0</v>
      </c>
      <c r="AB29" s="9">
        <v>44964</v>
      </c>
      <c r="AC29" s="8">
        <v>0</v>
      </c>
      <c r="AD29" s="8">
        <v>0</v>
      </c>
      <c r="AE29" s="8">
        <v>0</v>
      </c>
      <c r="AF29" s="9">
        <v>44964</v>
      </c>
      <c r="AG29" s="10" t="s">
        <v>189</v>
      </c>
      <c r="AH29" s="9">
        <v>44964</v>
      </c>
      <c r="AI29" s="10" t="s">
        <v>189</v>
      </c>
      <c r="AJ29" s="9">
        <v>44964</v>
      </c>
      <c r="AK29" s="5"/>
    </row>
    <row r="30" spans="1:37" ht="27" customHeight="1">
      <c r="A30" s="1">
        <v>27</v>
      </c>
      <c r="B30" s="5"/>
      <c r="C30" s="5"/>
      <c r="D30" s="5"/>
      <c r="E30" s="17" t="s">
        <v>450</v>
      </c>
      <c r="F30" s="17" t="s">
        <v>451</v>
      </c>
      <c r="G30" s="1"/>
      <c r="H30" s="18">
        <v>1</v>
      </c>
      <c r="I30" s="5"/>
      <c r="J30" s="1"/>
      <c r="K30" s="5"/>
      <c r="L30" s="6"/>
      <c r="M30" s="5"/>
      <c r="N30" s="19">
        <v>3.14</v>
      </c>
      <c r="O30" s="8">
        <v>1</v>
      </c>
      <c r="P30" s="9">
        <v>44964</v>
      </c>
      <c r="Q30" s="8">
        <v>0</v>
      </c>
      <c r="R30" s="9">
        <v>44964</v>
      </c>
      <c r="S30" s="8">
        <v>0</v>
      </c>
      <c r="T30" s="9">
        <v>44964</v>
      </c>
      <c r="U30" s="8">
        <v>0</v>
      </c>
      <c r="V30" s="9">
        <v>44964</v>
      </c>
      <c r="W30" s="8">
        <v>0</v>
      </c>
      <c r="X30" s="9">
        <v>44964</v>
      </c>
      <c r="Y30" s="8">
        <v>0</v>
      </c>
      <c r="Z30" s="9">
        <v>44964</v>
      </c>
      <c r="AA30" s="8">
        <v>0</v>
      </c>
      <c r="AB30" s="9">
        <v>44964</v>
      </c>
      <c r="AC30" s="8">
        <v>0</v>
      </c>
      <c r="AD30" s="8">
        <v>0</v>
      </c>
      <c r="AE30" s="8">
        <v>0</v>
      </c>
      <c r="AF30" s="9">
        <v>44964</v>
      </c>
      <c r="AG30" s="10" t="s">
        <v>189</v>
      </c>
      <c r="AH30" s="9">
        <v>44964</v>
      </c>
      <c r="AI30" s="10" t="s">
        <v>189</v>
      </c>
      <c r="AJ30" s="9">
        <v>44964</v>
      </c>
      <c r="AK30" s="5"/>
    </row>
    <row r="31" spans="1:37" ht="27" customHeight="1">
      <c r="A31" s="1">
        <v>28</v>
      </c>
      <c r="B31" s="5"/>
      <c r="C31" s="5"/>
      <c r="D31" s="5"/>
      <c r="E31" s="17" t="s">
        <v>452</v>
      </c>
      <c r="F31" s="17" t="s">
        <v>453</v>
      </c>
      <c r="G31" s="1"/>
      <c r="H31" s="18">
        <v>1</v>
      </c>
      <c r="I31" s="5"/>
      <c r="J31" s="1"/>
      <c r="K31" s="5"/>
      <c r="L31" s="6"/>
      <c r="M31" s="5"/>
      <c r="N31" s="19">
        <v>3.14</v>
      </c>
      <c r="O31" s="8">
        <v>1</v>
      </c>
      <c r="P31" s="9">
        <v>44964</v>
      </c>
      <c r="Q31" s="8">
        <v>0</v>
      </c>
      <c r="R31" s="9">
        <v>44964</v>
      </c>
      <c r="S31" s="8">
        <v>0</v>
      </c>
      <c r="T31" s="9">
        <v>44964</v>
      </c>
      <c r="U31" s="8">
        <v>0</v>
      </c>
      <c r="V31" s="9">
        <v>44964</v>
      </c>
      <c r="W31" s="8">
        <v>0</v>
      </c>
      <c r="X31" s="9">
        <v>44964</v>
      </c>
      <c r="Y31" s="8">
        <v>0</v>
      </c>
      <c r="Z31" s="9">
        <v>44964</v>
      </c>
      <c r="AA31" s="8">
        <v>0</v>
      </c>
      <c r="AB31" s="9">
        <v>44964</v>
      </c>
      <c r="AC31" s="8">
        <v>0</v>
      </c>
      <c r="AD31" s="8">
        <v>0</v>
      </c>
      <c r="AE31" s="8">
        <v>0</v>
      </c>
      <c r="AF31" s="9">
        <v>44964</v>
      </c>
      <c r="AG31" s="10" t="s">
        <v>189</v>
      </c>
      <c r="AH31" s="9">
        <v>44964</v>
      </c>
      <c r="AI31" s="10" t="s">
        <v>189</v>
      </c>
      <c r="AJ31" s="9">
        <v>44964</v>
      </c>
      <c r="AK31" s="5"/>
    </row>
    <row r="32" spans="1:37" ht="27" customHeight="1">
      <c r="A32" s="1">
        <v>29</v>
      </c>
      <c r="B32" s="5"/>
      <c r="C32" s="5"/>
      <c r="D32" s="5"/>
      <c r="E32" s="17" t="s">
        <v>454</v>
      </c>
      <c r="F32" s="17" t="s">
        <v>455</v>
      </c>
      <c r="G32" s="1"/>
      <c r="H32" s="18">
        <v>1</v>
      </c>
      <c r="I32" s="5"/>
      <c r="J32" s="1"/>
      <c r="K32" s="5"/>
      <c r="L32" s="6"/>
      <c r="M32" s="5"/>
      <c r="N32" s="23">
        <v>3.12</v>
      </c>
      <c r="O32" s="8">
        <v>1</v>
      </c>
      <c r="P32" s="9">
        <v>44964</v>
      </c>
      <c r="Q32" s="8">
        <v>0</v>
      </c>
      <c r="R32" s="9">
        <v>44964</v>
      </c>
      <c r="S32" s="8">
        <v>0</v>
      </c>
      <c r="T32" s="9">
        <v>44964</v>
      </c>
      <c r="U32" s="8">
        <v>0</v>
      </c>
      <c r="V32" s="9">
        <v>44964</v>
      </c>
      <c r="W32" s="8">
        <v>0</v>
      </c>
      <c r="X32" s="9">
        <v>44964</v>
      </c>
      <c r="Y32" s="8">
        <v>0</v>
      </c>
      <c r="Z32" s="9">
        <v>44964</v>
      </c>
      <c r="AA32" s="8">
        <v>0</v>
      </c>
      <c r="AB32" s="9">
        <v>44964</v>
      </c>
      <c r="AC32" s="8">
        <v>0</v>
      </c>
      <c r="AD32" s="8">
        <v>0</v>
      </c>
      <c r="AE32" s="8">
        <v>0</v>
      </c>
      <c r="AF32" s="9">
        <v>44964</v>
      </c>
      <c r="AG32" s="10" t="s">
        <v>189</v>
      </c>
      <c r="AH32" s="9">
        <v>44964</v>
      </c>
      <c r="AI32" s="10" t="s">
        <v>189</v>
      </c>
      <c r="AJ32" s="9">
        <v>44964</v>
      </c>
      <c r="AK32" s="5"/>
    </row>
    <row r="33" spans="1:37" ht="27" customHeight="1">
      <c r="A33" s="1">
        <v>30</v>
      </c>
      <c r="B33" s="5"/>
      <c r="C33" s="5"/>
      <c r="D33" s="5"/>
      <c r="E33" s="17" t="s">
        <v>456</v>
      </c>
      <c r="F33" s="17" t="s">
        <v>457</v>
      </c>
      <c r="G33" s="1"/>
      <c r="H33" s="18">
        <v>1</v>
      </c>
      <c r="I33" s="5"/>
      <c r="J33" s="1"/>
      <c r="K33" s="5"/>
      <c r="L33" s="6"/>
      <c r="M33" s="5"/>
      <c r="N33" s="19">
        <v>3.14</v>
      </c>
      <c r="O33" s="8">
        <v>1</v>
      </c>
      <c r="P33" s="9">
        <v>44964</v>
      </c>
      <c r="Q33" s="8">
        <v>0</v>
      </c>
      <c r="R33" s="9">
        <v>44964</v>
      </c>
      <c r="S33" s="8">
        <v>0</v>
      </c>
      <c r="T33" s="9">
        <v>44964</v>
      </c>
      <c r="U33" s="8">
        <v>0</v>
      </c>
      <c r="V33" s="9">
        <v>44964</v>
      </c>
      <c r="W33" s="8">
        <v>0</v>
      </c>
      <c r="X33" s="9">
        <v>44964</v>
      </c>
      <c r="Y33" s="8">
        <v>0</v>
      </c>
      <c r="Z33" s="9">
        <v>44964</v>
      </c>
      <c r="AA33" s="8">
        <v>0</v>
      </c>
      <c r="AB33" s="9">
        <v>44964</v>
      </c>
      <c r="AC33" s="8">
        <v>0</v>
      </c>
      <c r="AD33" s="8">
        <v>0</v>
      </c>
      <c r="AE33" s="8">
        <v>0</v>
      </c>
      <c r="AF33" s="9">
        <v>44964</v>
      </c>
      <c r="AG33" s="10" t="s">
        <v>189</v>
      </c>
      <c r="AH33" s="9">
        <v>44964</v>
      </c>
      <c r="AI33" s="10" t="s">
        <v>189</v>
      </c>
      <c r="AJ33" s="9">
        <v>44964</v>
      </c>
      <c r="AK33" s="5"/>
    </row>
    <row r="34" spans="1:37" ht="27" customHeight="1">
      <c r="A34" s="1">
        <v>31</v>
      </c>
      <c r="B34" s="5"/>
      <c r="C34" s="5"/>
      <c r="D34" s="5"/>
      <c r="E34" s="17" t="s">
        <v>458</v>
      </c>
      <c r="F34" s="17" t="s">
        <v>459</v>
      </c>
      <c r="G34" s="1"/>
      <c r="H34" s="18">
        <v>1</v>
      </c>
      <c r="I34" s="5"/>
      <c r="J34" s="1"/>
      <c r="K34" s="5"/>
      <c r="L34" s="6"/>
      <c r="M34" s="5"/>
      <c r="N34" s="19">
        <v>3.14</v>
      </c>
      <c r="O34" s="8">
        <v>1</v>
      </c>
      <c r="P34" s="9">
        <v>44964</v>
      </c>
      <c r="Q34" s="8">
        <v>0</v>
      </c>
      <c r="R34" s="9">
        <v>44964</v>
      </c>
      <c r="S34" s="8">
        <v>0</v>
      </c>
      <c r="T34" s="9">
        <v>44964</v>
      </c>
      <c r="U34" s="8">
        <v>0</v>
      </c>
      <c r="V34" s="9">
        <v>44964</v>
      </c>
      <c r="W34" s="8">
        <v>0</v>
      </c>
      <c r="X34" s="9">
        <v>44964</v>
      </c>
      <c r="Y34" s="8">
        <v>0</v>
      </c>
      <c r="Z34" s="9">
        <v>44964</v>
      </c>
      <c r="AA34" s="8">
        <v>0</v>
      </c>
      <c r="AB34" s="9">
        <v>44964</v>
      </c>
      <c r="AC34" s="8">
        <v>0</v>
      </c>
      <c r="AD34" s="8">
        <v>0</v>
      </c>
      <c r="AE34" s="8">
        <v>0</v>
      </c>
      <c r="AF34" s="9">
        <v>44964</v>
      </c>
      <c r="AG34" s="10" t="s">
        <v>189</v>
      </c>
      <c r="AH34" s="9">
        <v>44964</v>
      </c>
      <c r="AI34" s="10" t="s">
        <v>189</v>
      </c>
      <c r="AJ34" s="9">
        <v>44964</v>
      </c>
      <c r="AK34" s="5"/>
    </row>
    <row r="35" spans="1:37" ht="27" customHeight="1">
      <c r="A35" s="1">
        <v>32</v>
      </c>
      <c r="B35" s="5"/>
      <c r="C35" s="5"/>
      <c r="D35" s="5"/>
      <c r="E35" s="17" t="s">
        <v>460</v>
      </c>
      <c r="F35" s="17" t="s">
        <v>461</v>
      </c>
      <c r="G35" s="1"/>
      <c r="H35" s="24">
        <v>1</v>
      </c>
      <c r="I35" s="5"/>
      <c r="J35" s="1"/>
      <c r="K35" s="5"/>
      <c r="L35" s="6"/>
      <c r="M35" s="5"/>
      <c r="N35" s="23">
        <v>3.12</v>
      </c>
      <c r="O35" s="8">
        <v>1</v>
      </c>
      <c r="P35" s="9">
        <v>44964</v>
      </c>
      <c r="Q35" s="8">
        <v>0</v>
      </c>
      <c r="R35" s="9">
        <v>44964</v>
      </c>
      <c r="S35" s="8">
        <v>0</v>
      </c>
      <c r="T35" s="9">
        <v>44964</v>
      </c>
      <c r="U35" s="8">
        <v>0</v>
      </c>
      <c r="V35" s="9">
        <v>44964</v>
      </c>
      <c r="W35" s="8">
        <v>0</v>
      </c>
      <c r="X35" s="9">
        <v>44964</v>
      </c>
      <c r="Y35" s="8">
        <v>0</v>
      </c>
      <c r="Z35" s="9">
        <v>44964</v>
      </c>
      <c r="AA35" s="8">
        <v>0</v>
      </c>
      <c r="AB35" s="9">
        <v>44964</v>
      </c>
      <c r="AC35" s="8">
        <v>0</v>
      </c>
      <c r="AD35" s="8">
        <v>0</v>
      </c>
      <c r="AE35" s="8">
        <v>0</v>
      </c>
      <c r="AF35" s="9">
        <v>44964</v>
      </c>
      <c r="AG35" s="10" t="s">
        <v>189</v>
      </c>
      <c r="AH35" s="9">
        <v>44964</v>
      </c>
      <c r="AI35" s="10" t="s">
        <v>189</v>
      </c>
      <c r="AJ35" s="9">
        <v>44964</v>
      </c>
      <c r="AK35" s="5"/>
    </row>
    <row r="36" spans="1:37" ht="27" customHeight="1">
      <c r="A36" s="1">
        <v>33</v>
      </c>
      <c r="B36" s="5"/>
      <c r="C36" s="5"/>
      <c r="D36" s="5"/>
      <c r="E36" s="17" t="s">
        <v>462</v>
      </c>
      <c r="F36" s="25" t="s">
        <v>463</v>
      </c>
      <c r="G36" s="1"/>
      <c r="H36" s="26">
        <v>1</v>
      </c>
      <c r="I36" s="5"/>
      <c r="J36" s="1"/>
      <c r="K36" s="5"/>
      <c r="L36" s="6"/>
      <c r="M36" s="5"/>
      <c r="N36" s="27">
        <v>3.14</v>
      </c>
      <c r="O36" s="8">
        <v>1</v>
      </c>
      <c r="P36" s="9">
        <v>44964</v>
      </c>
      <c r="Q36" s="8">
        <v>0</v>
      </c>
      <c r="R36" s="9">
        <v>44964</v>
      </c>
      <c r="S36" s="8">
        <v>0</v>
      </c>
      <c r="T36" s="9">
        <v>44964</v>
      </c>
      <c r="U36" s="8">
        <v>0</v>
      </c>
      <c r="V36" s="9">
        <v>44964</v>
      </c>
      <c r="W36" s="8">
        <v>0</v>
      </c>
      <c r="X36" s="9">
        <v>44964</v>
      </c>
      <c r="Y36" s="8">
        <v>0</v>
      </c>
      <c r="Z36" s="9">
        <v>44964</v>
      </c>
      <c r="AA36" s="8">
        <v>0</v>
      </c>
      <c r="AB36" s="9">
        <v>44964</v>
      </c>
      <c r="AC36" s="8">
        <v>0</v>
      </c>
      <c r="AD36" s="8">
        <v>0</v>
      </c>
      <c r="AE36" s="8">
        <v>0</v>
      </c>
      <c r="AF36" s="9">
        <v>44964</v>
      </c>
      <c r="AG36" s="10" t="s">
        <v>189</v>
      </c>
      <c r="AH36" s="9">
        <v>44964</v>
      </c>
      <c r="AI36" s="10" t="s">
        <v>189</v>
      </c>
      <c r="AJ36" s="9">
        <v>44964</v>
      </c>
      <c r="AK36" s="5"/>
    </row>
    <row r="37" spans="1:37" ht="27" customHeight="1">
      <c r="A37" s="1">
        <v>34</v>
      </c>
      <c r="B37" s="5"/>
      <c r="C37" s="5"/>
      <c r="D37" s="5"/>
      <c r="E37" s="17" t="s">
        <v>464</v>
      </c>
      <c r="F37" s="25" t="s">
        <v>465</v>
      </c>
      <c r="G37" s="1"/>
      <c r="H37" s="26">
        <v>1</v>
      </c>
      <c r="I37" s="5"/>
      <c r="J37" s="1"/>
      <c r="K37" s="5"/>
      <c r="L37" s="6"/>
      <c r="M37" s="5"/>
      <c r="N37" s="22">
        <v>3.18</v>
      </c>
      <c r="O37" s="8">
        <v>1</v>
      </c>
      <c r="P37" s="9">
        <v>44964</v>
      </c>
      <c r="Q37" s="8">
        <v>0</v>
      </c>
      <c r="R37" s="9">
        <v>44964</v>
      </c>
      <c r="S37" s="8">
        <v>0</v>
      </c>
      <c r="T37" s="9">
        <v>44964</v>
      </c>
      <c r="U37" s="8">
        <v>0</v>
      </c>
      <c r="V37" s="9">
        <v>44964</v>
      </c>
      <c r="W37" s="8">
        <v>0</v>
      </c>
      <c r="X37" s="9">
        <v>44964</v>
      </c>
      <c r="Y37" s="8">
        <v>0</v>
      </c>
      <c r="Z37" s="9">
        <v>44964</v>
      </c>
      <c r="AA37" s="8">
        <v>0</v>
      </c>
      <c r="AB37" s="9">
        <v>44964</v>
      </c>
      <c r="AC37" s="8">
        <v>0</v>
      </c>
      <c r="AD37" s="8">
        <v>0</v>
      </c>
      <c r="AE37" s="8">
        <v>0</v>
      </c>
      <c r="AF37" s="9">
        <v>44964</v>
      </c>
      <c r="AG37" s="10" t="s">
        <v>189</v>
      </c>
      <c r="AH37" s="9">
        <v>44964</v>
      </c>
      <c r="AI37" s="10" t="s">
        <v>189</v>
      </c>
      <c r="AJ37" s="9">
        <v>44964</v>
      </c>
      <c r="AK37" s="5"/>
    </row>
    <row r="38" spans="1:37" ht="27" customHeight="1">
      <c r="A38" s="1">
        <v>35</v>
      </c>
      <c r="B38" s="5"/>
      <c r="C38" s="5"/>
      <c r="D38" s="5"/>
      <c r="E38" s="28" t="s">
        <v>466</v>
      </c>
      <c r="F38" s="28" t="s">
        <v>467</v>
      </c>
      <c r="G38" s="1"/>
      <c r="H38" s="24">
        <v>1</v>
      </c>
      <c r="I38" s="5"/>
      <c r="J38" s="1"/>
      <c r="K38" s="5"/>
      <c r="L38" s="6"/>
      <c r="M38" s="5"/>
      <c r="N38" s="19"/>
      <c r="O38" s="8">
        <v>1</v>
      </c>
      <c r="P38" s="9">
        <v>44964</v>
      </c>
      <c r="Q38" s="8">
        <v>0</v>
      </c>
      <c r="R38" s="9">
        <v>44964</v>
      </c>
      <c r="S38" s="8">
        <v>0</v>
      </c>
      <c r="T38" s="9">
        <v>44964</v>
      </c>
      <c r="U38" s="8">
        <v>0</v>
      </c>
      <c r="V38" s="9">
        <v>44964</v>
      </c>
      <c r="W38" s="8">
        <v>0</v>
      </c>
      <c r="X38" s="9">
        <v>44964</v>
      </c>
      <c r="Y38" s="8">
        <v>0</v>
      </c>
      <c r="Z38" s="9">
        <v>44964</v>
      </c>
      <c r="AA38" s="8">
        <v>0</v>
      </c>
      <c r="AB38" s="9">
        <v>44964</v>
      </c>
      <c r="AC38" s="8">
        <v>0</v>
      </c>
      <c r="AD38" s="8">
        <v>0</v>
      </c>
      <c r="AE38" s="8">
        <v>0</v>
      </c>
      <c r="AF38" s="9">
        <v>44964</v>
      </c>
      <c r="AG38" s="10" t="s">
        <v>189</v>
      </c>
      <c r="AH38" s="9">
        <v>44964</v>
      </c>
      <c r="AI38" s="10" t="s">
        <v>189</v>
      </c>
      <c r="AJ38" s="9">
        <v>44964</v>
      </c>
      <c r="AK38" s="5"/>
    </row>
    <row r="39" spans="1:37" ht="27" customHeight="1">
      <c r="A39" s="1">
        <v>36</v>
      </c>
      <c r="B39" s="5"/>
      <c r="C39" s="5"/>
      <c r="D39" s="5"/>
      <c r="E39" s="28" t="s">
        <v>468</v>
      </c>
      <c r="F39" s="28" t="s">
        <v>469</v>
      </c>
      <c r="G39" s="1"/>
      <c r="H39" s="24">
        <v>1</v>
      </c>
      <c r="I39" s="5"/>
      <c r="J39" s="1"/>
      <c r="K39" s="5"/>
      <c r="L39" s="6"/>
      <c r="M39" s="5"/>
      <c r="N39" s="19"/>
      <c r="O39" s="8">
        <v>1</v>
      </c>
      <c r="P39" s="9">
        <v>44964</v>
      </c>
      <c r="Q39" s="8">
        <v>0</v>
      </c>
      <c r="R39" s="9">
        <v>44964</v>
      </c>
      <c r="S39" s="8">
        <v>0</v>
      </c>
      <c r="T39" s="9">
        <v>44964</v>
      </c>
      <c r="U39" s="8">
        <v>0</v>
      </c>
      <c r="V39" s="9">
        <v>44964</v>
      </c>
      <c r="W39" s="8">
        <v>0</v>
      </c>
      <c r="X39" s="9">
        <v>44964</v>
      </c>
      <c r="Y39" s="8">
        <v>0</v>
      </c>
      <c r="Z39" s="9">
        <v>44964</v>
      </c>
      <c r="AA39" s="8">
        <v>0</v>
      </c>
      <c r="AB39" s="9">
        <v>44964</v>
      </c>
      <c r="AC39" s="8">
        <v>0</v>
      </c>
      <c r="AD39" s="8">
        <v>0</v>
      </c>
      <c r="AE39" s="8">
        <v>0</v>
      </c>
      <c r="AF39" s="9">
        <v>44964</v>
      </c>
      <c r="AG39" s="10" t="s">
        <v>189</v>
      </c>
      <c r="AH39" s="9">
        <v>44964</v>
      </c>
      <c r="AI39" s="10" t="s">
        <v>189</v>
      </c>
      <c r="AJ39" s="9">
        <v>44964</v>
      </c>
      <c r="AK39" s="5"/>
    </row>
    <row r="40" spans="1:37" ht="27" customHeight="1">
      <c r="A40" s="1">
        <v>37</v>
      </c>
      <c r="B40" s="5"/>
      <c r="C40" s="5"/>
      <c r="D40" s="5"/>
      <c r="E40" s="28" t="s">
        <v>470</v>
      </c>
      <c r="F40" s="28" t="s">
        <v>471</v>
      </c>
      <c r="G40" s="1"/>
      <c r="H40" s="24">
        <v>1</v>
      </c>
      <c r="I40" s="5"/>
      <c r="J40" s="1"/>
      <c r="K40" s="5"/>
      <c r="L40" s="6"/>
      <c r="M40" s="5"/>
      <c r="N40" s="19"/>
      <c r="O40" s="8">
        <v>1</v>
      </c>
      <c r="P40" s="9">
        <v>44964</v>
      </c>
      <c r="Q40" s="8">
        <v>0</v>
      </c>
      <c r="R40" s="9">
        <v>44964</v>
      </c>
      <c r="S40" s="8">
        <v>0</v>
      </c>
      <c r="T40" s="9">
        <v>44964</v>
      </c>
      <c r="U40" s="8">
        <v>0</v>
      </c>
      <c r="V40" s="9">
        <v>44964</v>
      </c>
      <c r="W40" s="8">
        <v>0</v>
      </c>
      <c r="X40" s="9">
        <v>44964</v>
      </c>
      <c r="Y40" s="8">
        <v>0</v>
      </c>
      <c r="Z40" s="9">
        <v>44964</v>
      </c>
      <c r="AA40" s="8">
        <v>0</v>
      </c>
      <c r="AB40" s="9">
        <v>44964</v>
      </c>
      <c r="AC40" s="8">
        <v>0</v>
      </c>
      <c r="AD40" s="8">
        <v>0</v>
      </c>
      <c r="AE40" s="8">
        <v>0</v>
      </c>
      <c r="AF40" s="9">
        <v>44964</v>
      </c>
      <c r="AG40" s="10" t="s">
        <v>189</v>
      </c>
      <c r="AH40" s="9">
        <v>44964</v>
      </c>
      <c r="AI40" s="10" t="s">
        <v>189</v>
      </c>
      <c r="AJ40" s="9">
        <v>44964</v>
      </c>
      <c r="AK40" s="5"/>
    </row>
    <row r="41" spans="1:37" ht="27" customHeight="1">
      <c r="A41" s="1">
        <v>38</v>
      </c>
      <c r="B41" s="5"/>
      <c r="C41" s="5"/>
      <c r="D41" s="5"/>
      <c r="E41" s="28" t="s">
        <v>472</v>
      </c>
      <c r="F41" s="28" t="s">
        <v>473</v>
      </c>
      <c r="G41" s="1"/>
      <c r="H41" s="24">
        <v>1</v>
      </c>
      <c r="I41" s="5"/>
      <c r="J41" s="1"/>
      <c r="K41" s="5"/>
      <c r="L41" s="6"/>
      <c r="M41" s="5"/>
      <c r="N41" s="19"/>
      <c r="O41" s="8">
        <v>1</v>
      </c>
      <c r="P41" s="9">
        <v>44964</v>
      </c>
      <c r="Q41" s="8">
        <v>0</v>
      </c>
      <c r="R41" s="9">
        <v>44964</v>
      </c>
      <c r="S41" s="8">
        <v>0</v>
      </c>
      <c r="T41" s="9">
        <v>44964</v>
      </c>
      <c r="U41" s="8">
        <v>0</v>
      </c>
      <c r="V41" s="9">
        <v>44964</v>
      </c>
      <c r="W41" s="8">
        <v>0</v>
      </c>
      <c r="X41" s="9">
        <v>44964</v>
      </c>
      <c r="Y41" s="8">
        <v>0</v>
      </c>
      <c r="Z41" s="9">
        <v>44964</v>
      </c>
      <c r="AA41" s="8">
        <v>0</v>
      </c>
      <c r="AB41" s="9">
        <v>44964</v>
      </c>
      <c r="AC41" s="8">
        <v>0</v>
      </c>
      <c r="AD41" s="8">
        <v>0</v>
      </c>
      <c r="AE41" s="8">
        <v>0</v>
      </c>
      <c r="AF41" s="9">
        <v>44964</v>
      </c>
      <c r="AG41" s="10" t="s">
        <v>189</v>
      </c>
      <c r="AH41" s="9">
        <v>44964</v>
      </c>
      <c r="AI41" s="10" t="s">
        <v>189</v>
      </c>
      <c r="AJ41" s="9">
        <v>44964</v>
      </c>
      <c r="AK41" s="5"/>
    </row>
    <row r="42" spans="1:37" ht="27" customHeight="1">
      <c r="A42" s="1">
        <v>39</v>
      </c>
      <c r="B42" s="5"/>
      <c r="C42" s="5"/>
      <c r="D42" s="5"/>
      <c r="E42" s="28" t="s">
        <v>474</v>
      </c>
      <c r="F42" s="28" t="s">
        <v>475</v>
      </c>
      <c r="G42" s="1"/>
      <c r="H42" s="24">
        <v>1</v>
      </c>
      <c r="I42" s="5"/>
      <c r="J42" s="1"/>
      <c r="K42" s="5"/>
      <c r="L42" s="6"/>
      <c r="M42" s="5"/>
      <c r="N42" s="19"/>
      <c r="O42" s="8">
        <v>1</v>
      </c>
      <c r="P42" s="9">
        <v>44964</v>
      </c>
      <c r="Q42" s="8">
        <v>0</v>
      </c>
      <c r="R42" s="9">
        <v>44964</v>
      </c>
      <c r="S42" s="8">
        <v>0</v>
      </c>
      <c r="T42" s="9">
        <v>44964</v>
      </c>
      <c r="U42" s="8">
        <v>0</v>
      </c>
      <c r="V42" s="9">
        <v>44964</v>
      </c>
      <c r="W42" s="8">
        <v>0</v>
      </c>
      <c r="X42" s="9">
        <v>44964</v>
      </c>
      <c r="Y42" s="8">
        <v>0</v>
      </c>
      <c r="Z42" s="9">
        <v>44964</v>
      </c>
      <c r="AA42" s="8">
        <v>0</v>
      </c>
      <c r="AB42" s="9">
        <v>44964</v>
      </c>
      <c r="AC42" s="8">
        <v>0</v>
      </c>
      <c r="AD42" s="8">
        <v>0</v>
      </c>
      <c r="AE42" s="8">
        <v>0</v>
      </c>
      <c r="AF42" s="9">
        <v>44964</v>
      </c>
      <c r="AG42" s="10" t="s">
        <v>189</v>
      </c>
      <c r="AH42" s="9">
        <v>44964</v>
      </c>
      <c r="AI42" s="10" t="s">
        <v>189</v>
      </c>
      <c r="AJ42" s="9">
        <v>44964</v>
      </c>
      <c r="AK42" s="5"/>
    </row>
    <row r="43" spans="1:37" ht="27" customHeight="1">
      <c r="A43" s="1">
        <v>40</v>
      </c>
      <c r="B43" s="5"/>
      <c r="C43" s="5"/>
      <c r="D43" s="5"/>
      <c r="E43" s="28" t="s">
        <v>476</v>
      </c>
      <c r="F43" s="28" t="s">
        <v>477</v>
      </c>
      <c r="G43" s="1"/>
      <c r="H43" s="24">
        <v>1</v>
      </c>
      <c r="I43" s="5"/>
      <c r="J43" s="1"/>
      <c r="K43" s="5"/>
      <c r="L43" s="6"/>
      <c r="M43" s="5"/>
      <c r="N43" s="19"/>
      <c r="O43" s="8">
        <v>1</v>
      </c>
      <c r="P43" s="9">
        <v>44964</v>
      </c>
      <c r="Q43" s="8">
        <v>0</v>
      </c>
      <c r="R43" s="9">
        <v>44964</v>
      </c>
      <c r="S43" s="8">
        <v>0</v>
      </c>
      <c r="T43" s="9">
        <v>44964</v>
      </c>
      <c r="U43" s="8">
        <v>0</v>
      </c>
      <c r="V43" s="9">
        <v>44964</v>
      </c>
      <c r="W43" s="8">
        <v>0</v>
      </c>
      <c r="X43" s="9">
        <v>44964</v>
      </c>
      <c r="Y43" s="8">
        <v>0</v>
      </c>
      <c r="Z43" s="9">
        <v>44964</v>
      </c>
      <c r="AA43" s="8">
        <v>0</v>
      </c>
      <c r="AB43" s="9">
        <v>44964</v>
      </c>
      <c r="AC43" s="8">
        <v>0</v>
      </c>
      <c r="AD43" s="8">
        <v>0</v>
      </c>
      <c r="AE43" s="8">
        <v>0</v>
      </c>
      <c r="AF43" s="9">
        <v>44964</v>
      </c>
      <c r="AG43" s="10" t="s">
        <v>189</v>
      </c>
      <c r="AH43" s="9">
        <v>44964</v>
      </c>
      <c r="AI43" s="10" t="s">
        <v>189</v>
      </c>
      <c r="AJ43" s="9">
        <v>44964</v>
      </c>
      <c r="AK43" s="5"/>
    </row>
    <row r="44" spans="1:37" ht="27" customHeight="1">
      <c r="A44" s="1">
        <v>41</v>
      </c>
      <c r="B44" s="5"/>
      <c r="C44" s="5"/>
      <c r="D44" s="5"/>
      <c r="E44" s="28" t="s">
        <v>478</v>
      </c>
      <c r="F44" s="28" t="s">
        <v>479</v>
      </c>
      <c r="G44" s="1"/>
      <c r="H44" s="24">
        <v>1</v>
      </c>
      <c r="I44" s="5"/>
      <c r="J44" s="1"/>
      <c r="K44" s="5"/>
      <c r="L44" s="6"/>
      <c r="M44" s="5"/>
      <c r="N44" s="19"/>
      <c r="O44" s="8">
        <v>1</v>
      </c>
      <c r="P44" s="9">
        <v>44964</v>
      </c>
      <c r="Q44" s="8">
        <v>0</v>
      </c>
      <c r="R44" s="9">
        <v>44964</v>
      </c>
      <c r="S44" s="8">
        <v>0</v>
      </c>
      <c r="T44" s="9">
        <v>44964</v>
      </c>
      <c r="U44" s="8">
        <v>0</v>
      </c>
      <c r="V44" s="9">
        <v>44964</v>
      </c>
      <c r="W44" s="8">
        <v>0</v>
      </c>
      <c r="X44" s="9">
        <v>44964</v>
      </c>
      <c r="Y44" s="8">
        <v>0</v>
      </c>
      <c r="Z44" s="9">
        <v>44964</v>
      </c>
      <c r="AA44" s="8">
        <v>0</v>
      </c>
      <c r="AB44" s="9">
        <v>44964</v>
      </c>
      <c r="AC44" s="8">
        <v>0</v>
      </c>
      <c r="AD44" s="8">
        <v>0</v>
      </c>
      <c r="AE44" s="8">
        <v>0</v>
      </c>
      <c r="AF44" s="9">
        <v>44964</v>
      </c>
      <c r="AG44" s="10" t="s">
        <v>189</v>
      </c>
      <c r="AH44" s="9">
        <v>44964</v>
      </c>
      <c r="AI44" s="10" t="s">
        <v>189</v>
      </c>
      <c r="AJ44" s="9">
        <v>44964</v>
      </c>
      <c r="AK44" s="5"/>
    </row>
    <row r="45" spans="1:37" ht="27" customHeight="1">
      <c r="A45" s="1">
        <v>42</v>
      </c>
      <c r="B45" s="5"/>
      <c r="C45" s="5"/>
      <c r="D45" s="5"/>
      <c r="E45" s="28" t="s">
        <v>480</v>
      </c>
      <c r="F45" s="28" t="s">
        <v>481</v>
      </c>
      <c r="G45" s="1"/>
      <c r="H45" s="24">
        <v>1</v>
      </c>
      <c r="I45" s="5"/>
      <c r="J45" s="1"/>
      <c r="K45" s="5"/>
      <c r="L45" s="6"/>
      <c r="M45" s="5"/>
      <c r="N45" s="19"/>
      <c r="O45" s="8">
        <v>1</v>
      </c>
      <c r="P45" s="9">
        <v>44964</v>
      </c>
      <c r="Q45" s="8">
        <v>0</v>
      </c>
      <c r="R45" s="9">
        <v>44964</v>
      </c>
      <c r="S45" s="8">
        <v>0</v>
      </c>
      <c r="T45" s="9">
        <v>44964</v>
      </c>
      <c r="U45" s="8">
        <v>0</v>
      </c>
      <c r="V45" s="9">
        <v>44964</v>
      </c>
      <c r="W45" s="8">
        <v>0</v>
      </c>
      <c r="X45" s="9">
        <v>44964</v>
      </c>
      <c r="Y45" s="8">
        <v>0</v>
      </c>
      <c r="Z45" s="9">
        <v>44964</v>
      </c>
      <c r="AA45" s="8">
        <v>0</v>
      </c>
      <c r="AB45" s="9">
        <v>44964</v>
      </c>
      <c r="AC45" s="8">
        <v>0</v>
      </c>
      <c r="AD45" s="8">
        <v>0</v>
      </c>
      <c r="AE45" s="8">
        <v>0</v>
      </c>
      <c r="AF45" s="9">
        <v>44964</v>
      </c>
      <c r="AG45" s="10" t="s">
        <v>189</v>
      </c>
      <c r="AH45" s="9">
        <v>44964</v>
      </c>
      <c r="AI45" s="10" t="s">
        <v>189</v>
      </c>
      <c r="AJ45" s="9">
        <v>44964</v>
      </c>
      <c r="AK45" s="5"/>
    </row>
    <row r="46" spans="1:37" ht="27" customHeight="1">
      <c r="A46" s="1">
        <v>43</v>
      </c>
      <c r="B46" s="5"/>
      <c r="C46" s="5"/>
      <c r="D46" s="5"/>
      <c r="E46" s="28" t="s">
        <v>482</v>
      </c>
      <c r="F46" s="28" t="s">
        <v>483</v>
      </c>
      <c r="G46" s="1"/>
      <c r="H46" s="24">
        <v>1</v>
      </c>
      <c r="I46" s="5"/>
      <c r="J46" s="1"/>
      <c r="K46" s="5"/>
      <c r="L46" s="6"/>
      <c r="M46" s="5"/>
      <c r="N46" s="19"/>
      <c r="O46" s="8">
        <v>1</v>
      </c>
      <c r="P46" s="9">
        <v>44964</v>
      </c>
      <c r="Q46" s="8">
        <v>0</v>
      </c>
      <c r="R46" s="9">
        <v>44964</v>
      </c>
      <c r="S46" s="8">
        <v>0</v>
      </c>
      <c r="T46" s="9">
        <v>44964</v>
      </c>
      <c r="U46" s="8">
        <v>0</v>
      </c>
      <c r="V46" s="9">
        <v>44964</v>
      </c>
      <c r="W46" s="8">
        <v>0</v>
      </c>
      <c r="X46" s="9">
        <v>44964</v>
      </c>
      <c r="Y46" s="8">
        <v>0</v>
      </c>
      <c r="Z46" s="9">
        <v>44964</v>
      </c>
      <c r="AA46" s="8">
        <v>0</v>
      </c>
      <c r="AB46" s="9">
        <v>44964</v>
      </c>
      <c r="AC46" s="8">
        <v>0</v>
      </c>
      <c r="AD46" s="8">
        <v>0</v>
      </c>
      <c r="AE46" s="8">
        <v>0</v>
      </c>
      <c r="AF46" s="9">
        <v>44964</v>
      </c>
      <c r="AG46" s="10" t="s">
        <v>189</v>
      </c>
      <c r="AH46" s="9">
        <v>44964</v>
      </c>
      <c r="AI46" s="10" t="s">
        <v>189</v>
      </c>
      <c r="AJ46" s="9">
        <v>44964</v>
      </c>
      <c r="AK46" s="5"/>
    </row>
    <row r="47" spans="1:37" ht="27" customHeight="1">
      <c r="A47" s="1">
        <v>44</v>
      </c>
      <c r="B47" s="5"/>
      <c r="C47" s="5"/>
      <c r="D47" s="5"/>
      <c r="E47" s="28" t="s">
        <v>484</v>
      </c>
      <c r="F47" s="28" t="s">
        <v>485</v>
      </c>
      <c r="G47" s="1"/>
      <c r="H47" s="24">
        <v>1</v>
      </c>
      <c r="I47" s="5"/>
      <c r="J47" s="1"/>
      <c r="K47" s="5"/>
      <c r="L47" s="6"/>
      <c r="M47" s="5"/>
      <c r="N47" s="19"/>
      <c r="O47" s="8">
        <v>1</v>
      </c>
      <c r="P47" s="9">
        <v>44964</v>
      </c>
      <c r="Q47" s="8">
        <v>0</v>
      </c>
      <c r="R47" s="9">
        <v>44964</v>
      </c>
      <c r="S47" s="8">
        <v>0</v>
      </c>
      <c r="T47" s="9">
        <v>44964</v>
      </c>
      <c r="U47" s="8">
        <v>0</v>
      </c>
      <c r="V47" s="9">
        <v>44964</v>
      </c>
      <c r="W47" s="8">
        <v>0</v>
      </c>
      <c r="X47" s="9">
        <v>44964</v>
      </c>
      <c r="Y47" s="8">
        <v>0</v>
      </c>
      <c r="Z47" s="9">
        <v>44964</v>
      </c>
      <c r="AA47" s="8">
        <v>0</v>
      </c>
      <c r="AB47" s="9">
        <v>44964</v>
      </c>
      <c r="AC47" s="8">
        <v>0</v>
      </c>
      <c r="AD47" s="8">
        <v>0</v>
      </c>
      <c r="AE47" s="8">
        <v>0</v>
      </c>
      <c r="AF47" s="9">
        <v>44964</v>
      </c>
      <c r="AG47" s="10" t="s">
        <v>189</v>
      </c>
      <c r="AH47" s="9">
        <v>44964</v>
      </c>
      <c r="AI47" s="10" t="s">
        <v>189</v>
      </c>
      <c r="AJ47" s="9">
        <v>44964</v>
      </c>
      <c r="AK47" s="5"/>
    </row>
    <row r="48" spans="1:37" ht="27" customHeight="1">
      <c r="A48" s="1">
        <v>45</v>
      </c>
      <c r="B48" s="5"/>
      <c r="C48" s="5"/>
      <c r="D48" s="5"/>
      <c r="E48" s="28" t="s">
        <v>486</v>
      </c>
      <c r="F48" s="28" t="s">
        <v>487</v>
      </c>
      <c r="G48" s="1"/>
      <c r="H48" s="24">
        <v>1</v>
      </c>
      <c r="I48" s="5"/>
      <c r="J48" s="1"/>
      <c r="K48" s="5"/>
      <c r="L48" s="6"/>
      <c r="M48" s="5"/>
      <c r="N48" s="19"/>
      <c r="O48" s="8">
        <v>1</v>
      </c>
      <c r="P48" s="9">
        <v>44964</v>
      </c>
      <c r="Q48" s="8">
        <v>0</v>
      </c>
      <c r="R48" s="9">
        <v>44964</v>
      </c>
      <c r="S48" s="8">
        <v>0</v>
      </c>
      <c r="T48" s="9">
        <v>44964</v>
      </c>
      <c r="U48" s="8">
        <v>0</v>
      </c>
      <c r="V48" s="9">
        <v>44964</v>
      </c>
      <c r="W48" s="8">
        <v>0</v>
      </c>
      <c r="X48" s="9">
        <v>44964</v>
      </c>
      <c r="Y48" s="8">
        <v>0</v>
      </c>
      <c r="Z48" s="9">
        <v>44964</v>
      </c>
      <c r="AA48" s="8">
        <v>0</v>
      </c>
      <c r="AB48" s="9">
        <v>44964</v>
      </c>
      <c r="AC48" s="8">
        <v>0</v>
      </c>
      <c r="AD48" s="8">
        <v>0</v>
      </c>
      <c r="AE48" s="8">
        <v>0</v>
      </c>
      <c r="AF48" s="9">
        <v>44964</v>
      </c>
      <c r="AG48" s="10" t="s">
        <v>189</v>
      </c>
      <c r="AH48" s="9">
        <v>44964</v>
      </c>
      <c r="AI48" s="10" t="s">
        <v>189</v>
      </c>
      <c r="AJ48" s="9">
        <v>44964</v>
      </c>
      <c r="AK48" s="5"/>
    </row>
    <row r="49" spans="1:37" ht="27" customHeight="1">
      <c r="A49" s="1">
        <v>46</v>
      </c>
      <c r="B49" s="5"/>
      <c r="C49" s="5"/>
      <c r="D49" s="5"/>
      <c r="E49" s="17" t="s">
        <v>488</v>
      </c>
      <c r="F49" s="25" t="s">
        <v>489</v>
      </c>
      <c r="G49" s="1"/>
      <c r="H49" s="24">
        <v>1</v>
      </c>
      <c r="I49" s="5"/>
      <c r="J49" s="1"/>
      <c r="K49" s="5"/>
      <c r="L49" s="6"/>
      <c r="M49" s="5"/>
      <c r="N49" s="19">
        <v>3.14</v>
      </c>
      <c r="O49" s="8">
        <v>1</v>
      </c>
      <c r="P49" s="9">
        <v>44964</v>
      </c>
      <c r="Q49" s="8">
        <v>0</v>
      </c>
      <c r="R49" s="9">
        <v>44964</v>
      </c>
      <c r="S49" s="8">
        <v>0</v>
      </c>
      <c r="T49" s="9">
        <v>44964</v>
      </c>
      <c r="U49" s="8">
        <v>0</v>
      </c>
      <c r="V49" s="9">
        <v>44964</v>
      </c>
      <c r="W49" s="8">
        <v>0</v>
      </c>
      <c r="X49" s="9">
        <v>44964</v>
      </c>
      <c r="Y49" s="8">
        <v>0</v>
      </c>
      <c r="Z49" s="9">
        <v>44964</v>
      </c>
      <c r="AA49" s="8">
        <v>0</v>
      </c>
      <c r="AB49" s="9">
        <v>44964</v>
      </c>
      <c r="AC49" s="8">
        <v>0</v>
      </c>
      <c r="AD49" s="8">
        <v>0</v>
      </c>
      <c r="AE49" s="8">
        <v>0</v>
      </c>
      <c r="AF49" s="9">
        <v>44964</v>
      </c>
      <c r="AG49" s="10" t="s">
        <v>189</v>
      </c>
      <c r="AH49" s="9">
        <v>44964</v>
      </c>
      <c r="AI49" s="10" t="s">
        <v>189</v>
      </c>
      <c r="AJ49" s="9">
        <v>44964</v>
      </c>
      <c r="AK49" s="5"/>
    </row>
    <row r="50" spans="1:37" ht="27" customHeight="1">
      <c r="A50" s="1">
        <v>47</v>
      </c>
      <c r="B50" s="5"/>
      <c r="C50" s="5"/>
      <c r="D50" s="5"/>
      <c r="E50" s="17" t="s">
        <v>490</v>
      </c>
      <c r="F50" s="25" t="s">
        <v>491</v>
      </c>
      <c r="G50" s="1"/>
      <c r="H50" s="29">
        <v>1</v>
      </c>
      <c r="I50" s="5"/>
      <c r="J50" s="1"/>
      <c r="K50" s="5"/>
      <c r="L50" s="6"/>
      <c r="M50" s="5"/>
      <c r="N50" s="19">
        <v>3.14</v>
      </c>
      <c r="O50" s="8">
        <v>1</v>
      </c>
      <c r="P50" s="9">
        <v>44964</v>
      </c>
      <c r="Q50" s="8">
        <v>0</v>
      </c>
      <c r="R50" s="9">
        <v>44964</v>
      </c>
      <c r="S50" s="8">
        <v>0</v>
      </c>
      <c r="T50" s="9">
        <v>44964</v>
      </c>
      <c r="U50" s="8">
        <v>0</v>
      </c>
      <c r="V50" s="9">
        <v>44964</v>
      </c>
      <c r="W50" s="8">
        <v>0</v>
      </c>
      <c r="X50" s="9">
        <v>44964</v>
      </c>
      <c r="Y50" s="8">
        <v>0</v>
      </c>
      <c r="Z50" s="9">
        <v>44964</v>
      </c>
      <c r="AA50" s="8">
        <v>0</v>
      </c>
      <c r="AB50" s="9">
        <v>44964</v>
      </c>
      <c r="AC50" s="8">
        <v>0</v>
      </c>
      <c r="AD50" s="8">
        <v>0</v>
      </c>
      <c r="AE50" s="8">
        <v>0</v>
      </c>
      <c r="AF50" s="9">
        <v>44964</v>
      </c>
      <c r="AG50" s="10" t="s">
        <v>189</v>
      </c>
      <c r="AH50" s="9">
        <v>44964</v>
      </c>
      <c r="AI50" s="10" t="s">
        <v>189</v>
      </c>
      <c r="AJ50" s="9">
        <v>44964</v>
      </c>
      <c r="AK50" s="5"/>
    </row>
    <row r="51" spans="1:37" ht="27" customHeight="1">
      <c r="A51" s="1">
        <v>48</v>
      </c>
      <c r="B51" s="5"/>
      <c r="C51" s="5"/>
      <c r="D51" s="5"/>
      <c r="E51" s="17" t="s">
        <v>492</v>
      </c>
      <c r="F51" s="25" t="s">
        <v>493</v>
      </c>
      <c r="G51" s="1"/>
      <c r="H51" s="26">
        <v>1</v>
      </c>
      <c r="I51" s="5"/>
      <c r="J51" s="1"/>
      <c r="K51" s="5"/>
      <c r="L51" s="6"/>
      <c r="M51" s="5"/>
      <c r="N51" s="22">
        <v>3.14</v>
      </c>
      <c r="O51" s="8">
        <v>1</v>
      </c>
      <c r="P51" s="9">
        <v>44964</v>
      </c>
      <c r="Q51" s="8">
        <v>0</v>
      </c>
      <c r="R51" s="9">
        <v>44964</v>
      </c>
      <c r="S51" s="8">
        <v>0</v>
      </c>
      <c r="T51" s="9">
        <v>44964</v>
      </c>
      <c r="U51" s="8">
        <v>0</v>
      </c>
      <c r="V51" s="9">
        <v>44964</v>
      </c>
      <c r="W51" s="8">
        <v>0</v>
      </c>
      <c r="X51" s="9">
        <v>44964</v>
      </c>
      <c r="Y51" s="8">
        <v>0</v>
      </c>
      <c r="Z51" s="9">
        <v>44964</v>
      </c>
      <c r="AA51" s="8">
        <v>0</v>
      </c>
      <c r="AB51" s="9">
        <v>44964</v>
      </c>
      <c r="AC51" s="8">
        <v>0</v>
      </c>
      <c r="AD51" s="8">
        <v>0</v>
      </c>
      <c r="AE51" s="8">
        <v>0</v>
      </c>
      <c r="AF51" s="9">
        <v>44964</v>
      </c>
      <c r="AG51" s="10" t="s">
        <v>189</v>
      </c>
      <c r="AH51" s="9">
        <v>44964</v>
      </c>
      <c r="AI51" s="10" t="s">
        <v>189</v>
      </c>
      <c r="AJ51" s="9">
        <v>44964</v>
      </c>
      <c r="AK51" s="5"/>
    </row>
    <row r="52" spans="1:37" ht="27" customHeight="1">
      <c r="A52" s="1">
        <v>49</v>
      </c>
      <c r="B52" s="5"/>
      <c r="C52" s="5"/>
      <c r="D52" s="5"/>
      <c r="E52" s="17" t="s">
        <v>494</v>
      </c>
      <c r="F52" s="25" t="s">
        <v>495</v>
      </c>
      <c r="G52" s="1"/>
      <c r="H52" s="24">
        <v>1</v>
      </c>
      <c r="I52" s="5"/>
      <c r="J52" s="1"/>
      <c r="K52" s="5"/>
      <c r="L52" s="6"/>
      <c r="M52" s="5"/>
      <c r="N52" s="19">
        <v>3.11</v>
      </c>
      <c r="O52" s="8">
        <v>1</v>
      </c>
      <c r="P52" s="9">
        <v>44964</v>
      </c>
      <c r="Q52" s="8">
        <v>0</v>
      </c>
      <c r="R52" s="9">
        <v>44964</v>
      </c>
      <c r="S52" s="8">
        <v>0</v>
      </c>
      <c r="T52" s="9">
        <v>44964</v>
      </c>
      <c r="U52" s="8">
        <v>0</v>
      </c>
      <c r="V52" s="9">
        <v>44964</v>
      </c>
      <c r="W52" s="8">
        <v>0</v>
      </c>
      <c r="X52" s="9">
        <v>44964</v>
      </c>
      <c r="Y52" s="8">
        <v>0</v>
      </c>
      <c r="Z52" s="9">
        <v>44964</v>
      </c>
      <c r="AA52" s="8">
        <v>0</v>
      </c>
      <c r="AB52" s="9">
        <v>44964</v>
      </c>
      <c r="AC52" s="8">
        <v>0</v>
      </c>
      <c r="AD52" s="8">
        <v>0</v>
      </c>
      <c r="AE52" s="8">
        <v>0</v>
      </c>
      <c r="AF52" s="9">
        <v>44964</v>
      </c>
      <c r="AG52" s="10" t="s">
        <v>189</v>
      </c>
      <c r="AH52" s="9">
        <v>44964</v>
      </c>
      <c r="AI52" s="10" t="s">
        <v>189</v>
      </c>
      <c r="AJ52" s="9">
        <v>44964</v>
      </c>
      <c r="AK52" s="5"/>
    </row>
    <row r="53" spans="1:37" ht="27" customHeight="1">
      <c r="A53" s="1">
        <v>50</v>
      </c>
      <c r="B53" s="5"/>
      <c r="C53" s="5"/>
      <c r="D53" s="5"/>
      <c r="E53" s="17" t="s">
        <v>496</v>
      </c>
      <c r="F53" s="25" t="s">
        <v>497</v>
      </c>
      <c r="G53" s="1"/>
      <c r="H53" s="24">
        <v>1</v>
      </c>
      <c r="I53" s="5"/>
      <c r="J53" s="1"/>
      <c r="K53" s="5"/>
      <c r="L53" s="6"/>
      <c r="M53" s="5"/>
      <c r="N53" s="19">
        <v>3.11</v>
      </c>
      <c r="O53" s="8">
        <v>1</v>
      </c>
      <c r="P53" s="9">
        <v>44964</v>
      </c>
      <c r="Q53" s="8">
        <v>0</v>
      </c>
      <c r="R53" s="9">
        <v>44964</v>
      </c>
      <c r="S53" s="8">
        <v>0</v>
      </c>
      <c r="T53" s="9">
        <v>44964</v>
      </c>
      <c r="U53" s="8">
        <v>0</v>
      </c>
      <c r="V53" s="9">
        <v>44964</v>
      </c>
      <c r="W53" s="8">
        <v>0</v>
      </c>
      <c r="X53" s="9">
        <v>44964</v>
      </c>
      <c r="Y53" s="8">
        <v>0</v>
      </c>
      <c r="Z53" s="9">
        <v>44964</v>
      </c>
      <c r="AA53" s="8">
        <v>0</v>
      </c>
      <c r="AB53" s="9">
        <v>44964</v>
      </c>
      <c r="AC53" s="8">
        <v>0</v>
      </c>
      <c r="AD53" s="8">
        <v>0</v>
      </c>
      <c r="AE53" s="8">
        <v>0</v>
      </c>
      <c r="AF53" s="9">
        <v>44964</v>
      </c>
      <c r="AG53" s="10" t="s">
        <v>189</v>
      </c>
      <c r="AH53" s="9">
        <v>44964</v>
      </c>
      <c r="AI53" s="10" t="s">
        <v>189</v>
      </c>
      <c r="AJ53" s="9">
        <v>44964</v>
      </c>
      <c r="AK53" s="5"/>
    </row>
    <row r="54" spans="1:37" ht="27" customHeight="1">
      <c r="A54" s="1">
        <v>51</v>
      </c>
      <c r="B54" s="5"/>
      <c r="C54" s="5"/>
      <c r="D54" s="5"/>
      <c r="E54" s="17" t="s">
        <v>498</v>
      </c>
      <c r="F54" s="25" t="s">
        <v>499</v>
      </c>
      <c r="G54" s="1"/>
      <c r="H54" s="24">
        <v>1</v>
      </c>
      <c r="I54" s="5"/>
      <c r="J54" s="1"/>
      <c r="K54" s="5"/>
      <c r="L54" s="6"/>
      <c r="M54" s="5"/>
      <c r="N54" s="19">
        <v>3.13</v>
      </c>
      <c r="O54" s="8">
        <v>1</v>
      </c>
      <c r="P54" s="9">
        <v>44964</v>
      </c>
      <c r="Q54" s="8">
        <v>0</v>
      </c>
      <c r="R54" s="9">
        <v>44964</v>
      </c>
      <c r="S54" s="8">
        <v>0</v>
      </c>
      <c r="T54" s="9">
        <v>44964</v>
      </c>
      <c r="U54" s="8">
        <v>0</v>
      </c>
      <c r="V54" s="9">
        <v>44964</v>
      </c>
      <c r="W54" s="8">
        <v>0</v>
      </c>
      <c r="X54" s="9">
        <v>44964</v>
      </c>
      <c r="Y54" s="8">
        <v>0</v>
      </c>
      <c r="Z54" s="9">
        <v>44964</v>
      </c>
      <c r="AA54" s="8">
        <v>0</v>
      </c>
      <c r="AB54" s="9">
        <v>44964</v>
      </c>
      <c r="AC54" s="8">
        <v>0</v>
      </c>
      <c r="AD54" s="8">
        <v>0</v>
      </c>
      <c r="AE54" s="8">
        <v>0</v>
      </c>
      <c r="AF54" s="9">
        <v>44964</v>
      </c>
      <c r="AG54" s="10" t="s">
        <v>189</v>
      </c>
      <c r="AH54" s="9">
        <v>44964</v>
      </c>
      <c r="AI54" s="10" t="s">
        <v>189</v>
      </c>
      <c r="AJ54" s="9">
        <v>44964</v>
      </c>
      <c r="AK54" s="5"/>
    </row>
    <row r="55" spans="1:37" ht="27" customHeight="1">
      <c r="A55" s="1">
        <v>52</v>
      </c>
      <c r="B55" s="5"/>
      <c r="C55" s="5"/>
      <c r="D55" s="5"/>
      <c r="E55" s="17" t="s">
        <v>500</v>
      </c>
      <c r="F55" s="25" t="s">
        <v>501</v>
      </c>
      <c r="G55" s="1"/>
      <c r="H55" s="24">
        <v>1</v>
      </c>
      <c r="I55" s="5"/>
      <c r="J55" s="1"/>
      <c r="K55" s="5"/>
      <c r="L55" s="6"/>
      <c r="M55" s="5"/>
      <c r="N55" s="19">
        <v>3.13</v>
      </c>
      <c r="O55" s="8">
        <v>1</v>
      </c>
      <c r="P55" s="9">
        <v>44964</v>
      </c>
      <c r="Q55" s="8">
        <v>0</v>
      </c>
      <c r="R55" s="9">
        <v>44964</v>
      </c>
      <c r="S55" s="8">
        <v>0</v>
      </c>
      <c r="T55" s="9">
        <v>44964</v>
      </c>
      <c r="U55" s="8">
        <v>0</v>
      </c>
      <c r="V55" s="9">
        <v>44964</v>
      </c>
      <c r="W55" s="8">
        <v>0</v>
      </c>
      <c r="X55" s="9">
        <v>44964</v>
      </c>
      <c r="Y55" s="8">
        <v>0</v>
      </c>
      <c r="Z55" s="9">
        <v>44964</v>
      </c>
      <c r="AA55" s="8">
        <v>0</v>
      </c>
      <c r="AB55" s="9">
        <v>44964</v>
      </c>
      <c r="AC55" s="8">
        <v>0</v>
      </c>
      <c r="AD55" s="8">
        <v>0</v>
      </c>
      <c r="AE55" s="8">
        <v>0</v>
      </c>
      <c r="AF55" s="9">
        <v>44964</v>
      </c>
      <c r="AG55" s="10" t="s">
        <v>189</v>
      </c>
      <c r="AH55" s="9">
        <v>44964</v>
      </c>
      <c r="AI55" s="10" t="s">
        <v>189</v>
      </c>
      <c r="AJ55" s="9">
        <v>44964</v>
      </c>
      <c r="AK55" s="5"/>
    </row>
    <row r="56" spans="1:37" ht="27" customHeight="1">
      <c r="A56" s="1">
        <v>53</v>
      </c>
      <c r="B56" s="5"/>
      <c r="C56" s="5"/>
      <c r="D56" s="5"/>
      <c r="E56" s="17" t="s">
        <v>502</v>
      </c>
      <c r="F56" s="25" t="s">
        <v>503</v>
      </c>
      <c r="G56" s="1"/>
      <c r="H56" s="24">
        <v>1</v>
      </c>
      <c r="I56" s="5"/>
      <c r="J56" s="1"/>
      <c r="K56" s="5"/>
      <c r="L56" s="6"/>
      <c r="M56" s="5"/>
      <c r="N56" s="19">
        <v>3.13</v>
      </c>
      <c r="O56" s="8">
        <v>1</v>
      </c>
      <c r="P56" s="9">
        <v>44964</v>
      </c>
      <c r="Q56" s="8">
        <v>0</v>
      </c>
      <c r="R56" s="9">
        <v>44964</v>
      </c>
      <c r="S56" s="8">
        <v>0</v>
      </c>
      <c r="T56" s="9">
        <v>44964</v>
      </c>
      <c r="U56" s="8">
        <v>0</v>
      </c>
      <c r="V56" s="9">
        <v>44964</v>
      </c>
      <c r="W56" s="8">
        <v>0</v>
      </c>
      <c r="X56" s="9">
        <v>44964</v>
      </c>
      <c r="Y56" s="8">
        <v>0</v>
      </c>
      <c r="Z56" s="9">
        <v>44964</v>
      </c>
      <c r="AA56" s="8">
        <v>0</v>
      </c>
      <c r="AB56" s="9">
        <v>44964</v>
      </c>
      <c r="AC56" s="8">
        <v>0</v>
      </c>
      <c r="AD56" s="8">
        <v>0</v>
      </c>
      <c r="AE56" s="8">
        <v>0</v>
      </c>
      <c r="AF56" s="9">
        <v>44964</v>
      </c>
      <c r="AG56" s="10" t="s">
        <v>189</v>
      </c>
      <c r="AH56" s="9">
        <v>44964</v>
      </c>
      <c r="AI56" s="10" t="s">
        <v>189</v>
      </c>
      <c r="AJ56" s="9">
        <v>44964</v>
      </c>
      <c r="AK56" s="5"/>
    </row>
    <row r="57" spans="1:37" ht="27" customHeight="1">
      <c r="A57" s="1">
        <v>54</v>
      </c>
      <c r="B57" s="5"/>
      <c r="C57" s="5"/>
      <c r="D57" s="5"/>
      <c r="E57" s="17" t="s">
        <v>504</v>
      </c>
      <c r="F57" s="25" t="s">
        <v>505</v>
      </c>
      <c r="G57" s="1"/>
      <c r="H57" s="24">
        <v>1</v>
      </c>
      <c r="I57" s="5"/>
      <c r="J57" s="1"/>
      <c r="K57" s="5"/>
      <c r="L57" s="6"/>
      <c r="M57" s="5"/>
      <c r="N57" s="19" t="s">
        <v>506</v>
      </c>
      <c r="O57" s="8">
        <v>1</v>
      </c>
      <c r="P57" s="9">
        <v>44964</v>
      </c>
      <c r="Q57" s="8">
        <v>0</v>
      </c>
      <c r="R57" s="9">
        <v>44964</v>
      </c>
      <c r="S57" s="8">
        <v>0</v>
      </c>
      <c r="T57" s="9">
        <v>44964</v>
      </c>
      <c r="U57" s="8">
        <v>0</v>
      </c>
      <c r="V57" s="9">
        <v>44964</v>
      </c>
      <c r="W57" s="8">
        <v>0</v>
      </c>
      <c r="X57" s="9">
        <v>44964</v>
      </c>
      <c r="Y57" s="8">
        <v>0</v>
      </c>
      <c r="Z57" s="9">
        <v>44964</v>
      </c>
      <c r="AA57" s="8">
        <v>0</v>
      </c>
      <c r="AB57" s="9">
        <v>44964</v>
      </c>
      <c r="AC57" s="8">
        <v>0</v>
      </c>
      <c r="AD57" s="8">
        <v>0</v>
      </c>
      <c r="AE57" s="8">
        <v>0</v>
      </c>
      <c r="AF57" s="9">
        <v>44964</v>
      </c>
      <c r="AG57" s="10" t="s">
        <v>189</v>
      </c>
      <c r="AH57" s="9">
        <v>44964</v>
      </c>
      <c r="AI57" s="10" t="s">
        <v>189</v>
      </c>
      <c r="AJ57" s="9">
        <v>44964</v>
      </c>
      <c r="AK57" s="5"/>
    </row>
    <row r="58" spans="1:37" ht="27" customHeight="1">
      <c r="A58" s="1">
        <v>55</v>
      </c>
      <c r="B58" s="5"/>
      <c r="C58" s="5"/>
      <c r="D58" s="5"/>
      <c r="E58" s="25" t="s">
        <v>507</v>
      </c>
      <c r="F58" s="25" t="s">
        <v>508</v>
      </c>
      <c r="G58" s="1"/>
      <c r="H58" s="24">
        <v>1</v>
      </c>
      <c r="I58" s="5"/>
      <c r="J58" s="1"/>
      <c r="K58" s="5"/>
      <c r="L58" s="6"/>
      <c r="M58" s="5"/>
      <c r="N58" s="19" t="s">
        <v>506</v>
      </c>
      <c r="O58" s="8">
        <v>1</v>
      </c>
      <c r="P58" s="9">
        <v>44964</v>
      </c>
      <c r="Q58" s="8">
        <v>0</v>
      </c>
      <c r="R58" s="9">
        <v>44964</v>
      </c>
      <c r="S58" s="8">
        <v>0</v>
      </c>
      <c r="T58" s="9">
        <v>44964</v>
      </c>
      <c r="U58" s="8">
        <v>0</v>
      </c>
      <c r="V58" s="9">
        <v>44964</v>
      </c>
      <c r="W58" s="8">
        <v>0</v>
      </c>
      <c r="X58" s="9">
        <v>44964</v>
      </c>
      <c r="Y58" s="8">
        <v>0</v>
      </c>
      <c r="Z58" s="9">
        <v>44964</v>
      </c>
      <c r="AA58" s="8">
        <v>0</v>
      </c>
      <c r="AB58" s="9">
        <v>44964</v>
      </c>
      <c r="AC58" s="8">
        <v>0</v>
      </c>
      <c r="AD58" s="8">
        <v>0</v>
      </c>
      <c r="AE58" s="8">
        <v>0</v>
      </c>
      <c r="AF58" s="9">
        <v>44964</v>
      </c>
      <c r="AG58" s="10" t="s">
        <v>189</v>
      </c>
      <c r="AH58" s="9">
        <v>44964</v>
      </c>
      <c r="AI58" s="10" t="s">
        <v>189</v>
      </c>
      <c r="AJ58" s="9">
        <v>44964</v>
      </c>
      <c r="AK58" s="5"/>
    </row>
    <row r="59" spans="1:37" ht="27" customHeight="1">
      <c r="A59" s="1">
        <v>56</v>
      </c>
      <c r="B59" s="5"/>
      <c r="C59" s="5"/>
      <c r="D59" s="5"/>
      <c r="E59" s="25" t="s">
        <v>509</v>
      </c>
      <c r="F59" s="25" t="s">
        <v>510</v>
      </c>
      <c r="G59" s="1"/>
      <c r="H59" s="24">
        <v>1</v>
      </c>
      <c r="I59" s="5"/>
      <c r="J59" s="1"/>
      <c r="K59" s="5"/>
      <c r="L59" s="6"/>
      <c r="M59" s="5"/>
      <c r="N59" s="19" t="s">
        <v>506</v>
      </c>
      <c r="O59" s="8">
        <v>1</v>
      </c>
      <c r="P59" s="9">
        <v>44964</v>
      </c>
      <c r="Q59" s="8">
        <v>0</v>
      </c>
      <c r="R59" s="9">
        <v>44964</v>
      </c>
      <c r="S59" s="8">
        <v>0</v>
      </c>
      <c r="T59" s="9">
        <v>44964</v>
      </c>
      <c r="U59" s="8">
        <v>0</v>
      </c>
      <c r="V59" s="9">
        <v>44964</v>
      </c>
      <c r="W59" s="8">
        <v>0</v>
      </c>
      <c r="X59" s="9">
        <v>44964</v>
      </c>
      <c r="Y59" s="8">
        <v>0</v>
      </c>
      <c r="Z59" s="9">
        <v>44964</v>
      </c>
      <c r="AA59" s="8">
        <v>0</v>
      </c>
      <c r="AB59" s="9">
        <v>44964</v>
      </c>
      <c r="AC59" s="8">
        <v>0</v>
      </c>
      <c r="AD59" s="8">
        <v>0</v>
      </c>
      <c r="AE59" s="8">
        <v>0</v>
      </c>
      <c r="AF59" s="9">
        <v>44964</v>
      </c>
      <c r="AG59" s="10" t="s">
        <v>189</v>
      </c>
      <c r="AH59" s="9">
        <v>44964</v>
      </c>
      <c r="AI59" s="10" t="s">
        <v>189</v>
      </c>
      <c r="AJ59" s="9">
        <v>44964</v>
      </c>
      <c r="AK59" s="5"/>
    </row>
    <row r="60" spans="1:37" ht="27" customHeight="1">
      <c r="A60" s="1">
        <v>57</v>
      </c>
      <c r="B60" s="5"/>
      <c r="C60" s="5"/>
      <c r="D60" s="5"/>
      <c r="E60" s="25" t="s">
        <v>511</v>
      </c>
      <c r="F60" s="25" t="s">
        <v>512</v>
      </c>
      <c r="G60" s="1"/>
      <c r="H60" s="24">
        <v>1</v>
      </c>
      <c r="I60" s="5"/>
      <c r="J60" s="1"/>
      <c r="K60" s="5"/>
      <c r="L60" s="6"/>
      <c r="M60" s="5"/>
      <c r="N60" s="19">
        <v>3.14</v>
      </c>
      <c r="O60" s="8">
        <v>1</v>
      </c>
      <c r="P60" s="9">
        <v>44964</v>
      </c>
      <c r="Q60" s="8">
        <v>0</v>
      </c>
      <c r="R60" s="9">
        <v>44964</v>
      </c>
      <c r="S60" s="8">
        <v>0</v>
      </c>
      <c r="T60" s="9">
        <v>44964</v>
      </c>
      <c r="U60" s="8">
        <v>0</v>
      </c>
      <c r="V60" s="9">
        <v>44964</v>
      </c>
      <c r="W60" s="8">
        <v>0</v>
      </c>
      <c r="X60" s="9">
        <v>44964</v>
      </c>
      <c r="Y60" s="8">
        <v>0</v>
      </c>
      <c r="Z60" s="9">
        <v>44964</v>
      </c>
      <c r="AA60" s="8">
        <v>0</v>
      </c>
      <c r="AB60" s="9">
        <v>44964</v>
      </c>
      <c r="AC60" s="8">
        <v>0</v>
      </c>
      <c r="AD60" s="8">
        <v>0</v>
      </c>
      <c r="AE60" s="8">
        <v>0</v>
      </c>
      <c r="AF60" s="9">
        <v>44964</v>
      </c>
      <c r="AG60" s="10" t="s">
        <v>189</v>
      </c>
      <c r="AH60" s="9">
        <v>44964</v>
      </c>
      <c r="AI60" s="10" t="s">
        <v>189</v>
      </c>
      <c r="AJ60" s="9">
        <v>44964</v>
      </c>
      <c r="AK60" s="5"/>
    </row>
    <row r="61" spans="1:37" ht="27" customHeight="1">
      <c r="A61" s="1">
        <v>58</v>
      </c>
      <c r="B61" s="5"/>
      <c r="C61" s="5"/>
      <c r="D61" s="5"/>
      <c r="E61" s="25" t="s">
        <v>513</v>
      </c>
      <c r="F61" s="25" t="s">
        <v>514</v>
      </c>
      <c r="G61" s="1"/>
      <c r="H61" s="24">
        <v>1</v>
      </c>
      <c r="I61" s="5"/>
      <c r="J61" s="1"/>
      <c r="K61" s="5"/>
      <c r="L61" s="6"/>
      <c r="M61" s="5"/>
      <c r="N61" s="19">
        <v>3.14</v>
      </c>
      <c r="O61" s="8">
        <v>1</v>
      </c>
      <c r="P61" s="9">
        <v>44964</v>
      </c>
      <c r="Q61" s="8">
        <v>0</v>
      </c>
      <c r="R61" s="9">
        <v>44964</v>
      </c>
      <c r="S61" s="8">
        <v>0</v>
      </c>
      <c r="T61" s="9">
        <v>44964</v>
      </c>
      <c r="U61" s="8">
        <v>0</v>
      </c>
      <c r="V61" s="9">
        <v>44964</v>
      </c>
      <c r="W61" s="8">
        <v>0</v>
      </c>
      <c r="X61" s="9">
        <v>44964</v>
      </c>
      <c r="Y61" s="8">
        <v>0</v>
      </c>
      <c r="Z61" s="9">
        <v>44964</v>
      </c>
      <c r="AA61" s="8">
        <v>0</v>
      </c>
      <c r="AB61" s="9">
        <v>44964</v>
      </c>
      <c r="AC61" s="8">
        <v>0</v>
      </c>
      <c r="AD61" s="8">
        <v>0</v>
      </c>
      <c r="AE61" s="8">
        <v>0</v>
      </c>
      <c r="AF61" s="9">
        <v>44964</v>
      </c>
      <c r="AG61" s="10" t="s">
        <v>189</v>
      </c>
      <c r="AH61" s="9">
        <v>44964</v>
      </c>
      <c r="AI61" s="10" t="s">
        <v>189</v>
      </c>
      <c r="AJ61" s="9">
        <v>44964</v>
      </c>
      <c r="AK61" s="5"/>
    </row>
    <row r="62" spans="1:37" ht="27" customHeight="1">
      <c r="A62" s="1">
        <v>59</v>
      </c>
      <c r="B62" s="5"/>
      <c r="C62" s="5"/>
      <c r="D62" s="5"/>
      <c r="E62" s="30" t="s">
        <v>515</v>
      </c>
      <c r="F62" s="31" t="s">
        <v>516</v>
      </c>
      <c r="G62" s="1"/>
      <c r="H62" s="24">
        <v>1</v>
      </c>
      <c r="I62" s="5"/>
      <c r="J62" s="1"/>
      <c r="K62" s="5"/>
      <c r="L62" s="6"/>
      <c r="M62" s="5"/>
      <c r="N62" s="19">
        <v>3.12</v>
      </c>
      <c r="O62" s="8">
        <v>1</v>
      </c>
      <c r="P62" s="9">
        <v>44964</v>
      </c>
      <c r="Q62" s="8">
        <v>0</v>
      </c>
      <c r="R62" s="9">
        <v>44964</v>
      </c>
      <c r="S62" s="8">
        <v>0</v>
      </c>
      <c r="T62" s="9">
        <v>44964</v>
      </c>
      <c r="U62" s="8">
        <v>0</v>
      </c>
      <c r="V62" s="9">
        <v>44964</v>
      </c>
      <c r="W62" s="8">
        <v>0</v>
      </c>
      <c r="X62" s="9">
        <v>44964</v>
      </c>
      <c r="Y62" s="8">
        <v>0</v>
      </c>
      <c r="Z62" s="9">
        <v>44964</v>
      </c>
      <c r="AA62" s="8">
        <v>0</v>
      </c>
      <c r="AB62" s="9">
        <v>44964</v>
      </c>
      <c r="AC62" s="8">
        <v>0</v>
      </c>
      <c r="AD62" s="8">
        <v>0</v>
      </c>
      <c r="AE62" s="8">
        <v>0</v>
      </c>
      <c r="AF62" s="9">
        <v>44964</v>
      </c>
      <c r="AG62" s="10" t="s">
        <v>189</v>
      </c>
      <c r="AH62" s="9">
        <v>44964</v>
      </c>
      <c r="AI62" s="10" t="s">
        <v>189</v>
      </c>
      <c r="AJ62" s="9">
        <v>44964</v>
      </c>
      <c r="AK62" s="5"/>
    </row>
    <row r="63" spans="1:37" ht="27" customHeight="1">
      <c r="A63" s="1">
        <v>60</v>
      </c>
      <c r="B63" s="5"/>
      <c r="C63" s="5"/>
      <c r="D63" s="5"/>
      <c r="E63" s="30" t="s">
        <v>517</v>
      </c>
      <c r="F63" s="31" t="s">
        <v>518</v>
      </c>
      <c r="G63" s="1"/>
      <c r="H63" s="24">
        <v>1</v>
      </c>
      <c r="I63" s="5"/>
      <c r="J63" s="1"/>
      <c r="K63" s="5"/>
      <c r="L63" s="6"/>
      <c r="M63" s="5"/>
      <c r="N63" s="19">
        <v>3.13</v>
      </c>
      <c r="O63" s="8">
        <v>1</v>
      </c>
      <c r="P63" s="9">
        <v>44964</v>
      </c>
      <c r="Q63" s="8">
        <v>0</v>
      </c>
      <c r="R63" s="9">
        <v>44964</v>
      </c>
      <c r="S63" s="8">
        <v>0</v>
      </c>
      <c r="T63" s="9">
        <v>44964</v>
      </c>
      <c r="U63" s="8">
        <v>0</v>
      </c>
      <c r="V63" s="9">
        <v>44964</v>
      </c>
      <c r="W63" s="8">
        <v>0</v>
      </c>
      <c r="X63" s="9">
        <v>44964</v>
      </c>
      <c r="Y63" s="8">
        <v>0</v>
      </c>
      <c r="Z63" s="9">
        <v>44964</v>
      </c>
      <c r="AA63" s="8">
        <v>0</v>
      </c>
      <c r="AB63" s="9">
        <v>44964</v>
      </c>
      <c r="AC63" s="8">
        <v>0</v>
      </c>
      <c r="AD63" s="8">
        <v>0</v>
      </c>
      <c r="AE63" s="8">
        <v>0</v>
      </c>
      <c r="AF63" s="9">
        <v>44964</v>
      </c>
      <c r="AG63" s="10" t="s">
        <v>189</v>
      </c>
      <c r="AH63" s="9">
        <v>44964</v>
      </c>
      <c r="AI63" s="10" t="s">
        <v>189</v>
      </c>
      <c r="AJ63" s="9">
        <v>44964</v>
      </c>
      <c r="AK63" s="5"/>
    </row>
    <row r="64" spans="1:37" ht="27" customHeight="1">
      <c r="A64" s="1">
        <v>61</v>
      </c>
      <c r="B64" s="5"/>
      <c r="C64" s="5"/>
      <c r="D64" s="5"/>
      <c r="E64" s="30" t="s">
        <v>519</v>
      </c>
      <c r="F64" s="31" t="s">
        <v>520</v>
      </c>
      <c r="G64" s="1"/>
      <c r="H64" s="24">
        <v>1</v>
      </c>
      <c r="I64" s="5"/>
      <c r="J64" s="1"/>
      <c r="K64" s="5"/>
      <c r="L64" s="6"/>
      <c r="M64" s="5"/>
      <c r="N64" s="19">
        <v>3.13</v>
      </c>
      <c r="O64" s="8">
        <v>1</v>
      </c>
      <c r="P64" s="9">
        <v>44964</v>
      </c>
      <c r="Q64" s="8">
        <v>0</v>
      </c>
      <c r="R64" s="9">
        <v>44964</v>
      </c>
      <c r="S64" s="8">
        <v>0</v>
      </c>
      <c r="T64" s="9">
        <v>44964</v>
      </c>
      <c r="U64" s="8">
        <v>0</v>
      </c>
      <c r="V64" s="9">
        <v>44964</v>
      </c>
      <c r="W64" s="8">
        <v>0</v>
      </c>
      <c r="X64" s="9">
        <v>44964</v>
      </c>
      <c r="Y64" s="8">
        <v>0</v>
      </c>
      <c r="Z64" s="9">
        <v>44964</v>
      </c>
      <c r="AA64" s="8">
        <v>0</v>
      </c>
      <c r="AB64" s="9">
        <v>44964</v>
      </c>
      <c r="AC64" s="8">
        <v>0</v>
      </c>
      <c r="AD64" s="8">
        <v>0</v>
      </c>
      <c r="AE64" s="8">
        <v>0</v>
      </c>
      <c r="AF64" s="9">
        <v>44964</v>
      </c>
      <c r="AG64" s="10" t="s">
        <v>189</v>
      </c>
      <c r="AH64" s="9">
        <v>44964</v>
      </c>
      <c r="AI64" s="10" t="s">
        <v>189</v>
      </c>
      <c r="AJ64" s="9">
        <v>44964</v>
      </c>
      <c r="AK64" s="5"/>
    </row>
    <row r="65" spans="1:37" ht="27" customHeight="1">
      <c r="A65" s="1">
        <v>62</v>
      </c>
      <c r="B65" s="5"/>
      <c r="C65" s="5"/>
      <c r="D65" s="5"/>
      <c r="E65" s="30" t="s">
        <v>521</v>
      </c>
      <c r="F65" s="31" t="s">
        <v>522</v>
      </c>
      <c r="G65" s="1"/>
      <c r="H65" s="24">
        <v>1</v>
      </c>
      <c r="I65" s="5"/>
      <c r="J65" s="1"/>
      <c r="K65" s="5"/>
      <c r="L65" s="6"/>
      <c r="M65" s="5"/>
      <c r="N65" s="19">
        <v>3.13</v>
      </c>
      <c r="O65" s="8">
        <v>1</v>
      </c>
      <c r="P65" s="9">
        <v>44964</v>
      </c>
      <c r="Q65" s="8">
        <v>0</v>
      </c>
      <c r="R65" s="9">
        <v>44964</v>
      </c>
      <c r="S65" s="8">
        <v>0</v>
      </c>
      <c r="T65" s="9">
        <v>44964</v>
      </c>
      <c r="U65" s="8">
        <v>0</v>
      </c>
      <c r="V65" s="9">
        <v>44964</v>
      </c>
      <c r="W65" s="8">
        <v>0</v>
      </c>
      <c r="X65" s="9">
        <v>44964</v>
      </c>
      <c r="Y65" s="8">
        <v>0</v>
      </c>
      <c r="Z65" s="9">
        <v>44964</v>
      </c>
      <c r="AA65" s="8">
        <v>0</v>
      </c>
      <c r="AB65" s="9">
        <v>44964</v>
      </c>
      <c r="AC65" s="8">
        <v>0</v>
      </c>
      <c r="AD65" s="8">
        <v>0</v>
      </c>
      <c r="AE65" s="8">
        <v>0</v>
      </c>
      <c r="AF65" s="9">
        <v>44964</v>
      </c>
      <c r="AG65" s="10" t="s">
        <v>189</v>
      </c>
      <c r="AH65" s="9">
        <v>44964</v>
      </c>
      <c r="AI65" s="10" t="s">
        <v>189</v>
      </c>
      <c r="AJ65" s="9">
        <v>44964</v>
      </c>
      <c r="AK65" s="5"/>
    </row>
    <row r="66" spans="1:37" ht="27" customHeight="1">
      <c r="A66" s="1">
        <v>63</v>
      </c>
      <c r="B66" s="5"/>
      <c r="C66" s="5"/>
      <c r="D66" s="5"/>
      <c r="E66" s="30" t="s">
        <v>523</v>
      </c>
      <c r="F66" s="31" t="s">
        <v>524</v>
      </c>
      <c r="G66" s="1"/>
      <c r="H66" s="24">
        <v>1</v>
      </c>
      <c r="I66" s="5"/>
      <c r="J66" s="1"/>
      <c r="K66" s="5"/>
      <c r="L66" s="6"/>
      <c r="M66" s="5"/>
      <c r="N66" s="19">
        <v>3.12</v>
      </c>
      <c r="O66" s="8">
        <v>1</v>
      </c>
      <c r="P66" s="9">
        <v>44964</v>
      </c>
      <c r="Q66" s="8">
        <v>0</v>
      </c>
      <c r="R66" s="9">
        <v>44964</v>
      </c>
      <c r="S66" s="8">
        <v>0</v>
      </c>
      <c r="T66" s="9">
        <v>44964</v>
      </c>
      <c r="U66" s="8">
        <v>0</v>
      </c>
      <c r="V66" s="9">
        <v>44964</v>
      </c>
      <c r="W66" s="8">
        <v>0</v>
      </c>
      <c r="X66" s="9">
        <v>44964</v>
      </c>
      <c r="Y66" s="8">
        <v>0</v>
      </c>
      <c r="Z66" s="9">
        <v>44964</v>
      </c>
      <c r="AA66" s="8">
        <v>0</v>
      </c>
      <c r="AB66" s="9">
        <v>44964</v>
      </c>
      <c r="AC66" s="8">
        <v>0</v>
      </c>
      <c r="AD66" s="8">
        <v>0</v>
      </c>
      <c r="AE66" s="8">
        <v>0</v>
      </c>
      <c r="AF66" s="9">
        <v>44964</v>
      </c>
      <c r="AG66" s="10" t="s">
        <v>189</v>
      </c>
      <c r="AH66" s="9">
        <v>44964</v>
      </c>
      <c r="AI66" s="10" t="s">
        <v>189</v>
      </c>
      <c r="AJ66" s="9">
        <v>44964</v>
      </c>
      <c r="AK66" s="5"/>
    </row>
    <row r="67" spans="1:37" ht="27" customHeight="1">
      <c r="A67" s="1">
        <v>64</v>
      </c>
      <c r="B67" s="5"/>
      <c r="C67" s="5"/>
      <c r="D67" s="5"/>
      <c r="E67" s="30" t="s">
        <v>525</v>
      </c>
      <c r="F67" s="31" t="s">
        <v>526</v>
      </c>
      <c r="G67" s="1"/>
      <c r="H67" s="24">
        <v>1</v>
      </c>
      <c r="I67" s="5"/>
      <c r="J67" s="1"/>
      <c r="K67" s="5"/>
      <c r="L67" s="6"/>
      <c r="M67" s="5"/>
      <c r="N67" s="19">
        <v>3.12</v>
      </c>
      <c r="O67" s="8">
        <v>1</v>
      </c>
      <c r="P67" s="9">
        <v>44964</v>
      </c>
      <c r="Q67" s="8">
        <v>0</v>
      </c>
      <c r="R67" s="9">
        <v>44964</v>
      </c>
      <c r="S67" s="8">
        <v>0</v>
      </c>
      <c r="T67" s="9">
        <v>44964</v>
      </c>
      <c r="U67" s="8">
        <v>0</v>
      </c>
      <c r="V67" s="9">
        <v>44964</v>
      </c>
      <c r="W67" s="8">
        <v>0</v>
      </c>
      <c r="X67" s="9">
        <v>44964</v>
      </c>
      <c r="Y67" s="8">
        <v>0</v>
      </c>
      <c r="Z67" s="9">
        <v>44964</v>
      </c>
      <c r="AA67" s="8">
        <v>0</v>
      </c>
      <c r="AB67" s="9">
        <v>44964</v>
      </c>
      <c r="AC67" s="8">
        <v>0</v>
      </c>
      <c r="AD67" s="8">
        <v>0</v>
      </c>
      <c r="AE67" s="8">
        <v>0</v>
      </c>
      <c r="AF67" s="9">
        <v>44964</v>
      </c>
      <c r="AG67" s="10" t="s">
        <v>189</v>
      </c>
      <c r="AH67" s="9">
        <v>44964</v>
      </c>
      <c r="AI67" s="10" t="s">
        <v>189</v>
      </c>
      <c r="AJ67" s="9">
        <v>44964</v>
      </c>
      <c r="AK67" s="5"/>
    </row>
    <row r="68" spans="1:37" ht="27" customHeight="1">
      <c r="A68" s="1">
        <v>65</v>
      </c>
      <c r="B68" s="5"/>
      <c r="C68" s="5"/>
      <c r="D68" s="5"/>
      <c r="E68" s="30" t="s">
        <v>527</v>
      </c>
      <c r="F68" s="31" t="s">
        <v>528</v>
      </c>
      <c r="G68" s="1"/>
      <c r="H68" s="26">
        <v>1</v>
      </c>
      <c r="I68" s="5"/>
      <c r="J68" s="1"/>
      <c r="K68" s="5"/>
      <c r="L68" s="6"/>
      <c r="M68" s="5"/>
      <c r="N68" s="32">
        <v>3.12</v>
      </c>
      <c r="O68" s="8">
        <v>1</v>
      </c>
      <c r="P68" s="9">
        <v>44964</v>
      </c>
      <c r="Q68" s="8">
        <v>0</v>
      </c>
      <c r="R68" s="9">
        <v>44964</v>
      </c>
      <c r="S68" s="8">
        <v>0</v>
      </c>
      <c r="T68" s="9">
        <v>44964</v>
      </c>
      <c r="U68" s="8">
        <v>0</v>
      </c>
      <c r="V68" s="9">
        <v>44964</v>
      </c>
      <c r="W68" s="8">
        <v>0</v>
      </c>
      <c r="X68" s="9">
        <v>44964</v>
      </c>
      <c r="Y68" s="8">
        <v>0</v>
      </c>
      <c r="Z68" s="9">
        <v>44964</v>
      </c>
      <c r="AA68" s="8">
        <v>0</v>
      </c>
      <c r="AB68" s="9">
        <v>44964</v>
      </c>
      <c r="AC68" s="8">
        <v>0</v>
      </c>
      <c r="AD68" s="8">
        <v>0</v>
      </c>
      <c r="AE68" s="8">
        <v>0</v>
      </c>
      <c r="AF68" s="9">
        <v>44964</v>
      </c>
      <c r="AG68" s="10" t="s">
        <v>189</v>
      </c>
      <c r="AH68" s="9">
        <v>44964</v>
      </c>
      <c r="AI68" s="10" t="s">
        <v>189</v>
      </c>
      <c r="AJ68" s="9">
        <v>44964</v>
      </c>
      <c r="AK68" s="5"/>
    </row>
    <row r="69" spans="1:37" ht="27" customHeight="1">
      <c r="A69" s="1">
        <v>66</v>
      </c>
      <c r="B69" s="5"/>
      <c r="C69" s="5"/>
      <c r="D69" s="5"/>
      <c r="E69" s="33" t="s">
        <v>529</v>
      </c>
      <c r="F69" s="34" t="s">
        <v>530</v>
      </c>
      <c r="G69" s="1"/>
      <c r="H69" s="26">
        <v>1</v>
      </c>
      <c r="I69" s="5"/>
      <c r="J69" s="1"/>
      <c r="K69" s="5"/>
      <c r="L69" s="6"/>
      <c r="M69" s="5"/>
      <c r="N69" s="19">
        <v>3.12</v>
      </c>
      <c r="O69" s="8">
        <v>1</v>
      </c>
      <c r="P69" s="9">
        <v>44964</v>
      </c>
      <c r="Q69" s="8">
        <v>0</v>
      </c>
      <c r="R69" s="9">
        <v>44964</v>
      </c>
      <c r="S69" s="8">
        <v>0</v>
      </c>
      <c r="T69" s="9">
        <v>44964</v>
      </c>
      <c r="U69" s="8">
        <v>0</v>
      </c>
      <c r="V69" s="9">
        <v>44964</v>
      </c>
      <c r="W69" s="8">
        <v>0</v>
      </c>
      <c r="X69" s="9">
        <v>44964</v>
      </c>
      <c r="Y69" s="8">
        <v>0</v>
      </c>
      <c r="Z69" s="9">
        <v>44964</v>
      </c>
      <c r="AA69" s="8">
        <v>0</v>
      </c>
      <c r="AB69" s="9">
        <v>44964</v>
      </c>
      <c r="AC69" s="8">
        <v>0</v>
      </c>
      <c r="AD69" s="8">
        <v>0</v>
      </c>
      <c r="AE69" s="8">
        <v>0</v>
      </c>
      <c r="AF69" s="9">
        <v>44964</v>
      </c>
      <c r="AG69" s="10" t="s">
        <v>189</v>
      </c>
      <c r="AH69" s="9">
        <v>44964</v>
      </c>
      <c r="AI69" s="10" t="s">
        <v>189</v>
      </c>
      <c r="AJ69" s="9">
        <v>44964</v>
      </c>
      <c r="AK69" s="5"/>
    </row>
    <row r="70" spans="1:37" ht="27" customHeight="1">
      <c r="A70" s="1">
        <v>67</v>
      </c>
      <c r="B70" s="5"/>
      <c r="C70" s="5"/>
      <c r="D70" s="5"/>
      <c r="E70" s="30" t="s">
        <v>531</v>
      </c>
      <c r="F70" s="31" t="s">
        <v>532</v>
      </c>
      <c r="G70" s="1"/>
      <c r="H70" s="24">
        <v>1</v>
      </c>
      <c r="I70" s="5"/>
      <c r="J70" s="1"/>
      <c r="K70" s="5"/>
      <c r="L70" s="6"/>
      <c r="M70" s="5"/>
      <c r="N70" s="19">
        <v>3.12</v>
      </c>
      <c r="O70" s="8">
        <v>1</v>
      </c>
      <c r="P70" s="9">
        <v>44964</v>
      </c>
      <c r="Q70" s="8">
        <v>0</v>
      </c>
      <c r="R70" s="9">
        <v>44964</v>
      </c>
      <c r="S70" s="8">
        <v>0</v>
      </c>
      <c r="T70" s="9">
        <v>44964</v>
      </c>
      <c r="U70" s="8">
        <v>0</v>
      </c>
      <c r="V70" s="9">
        <v>44964</v>
      </c>
      <c r="W70" s="8">
        <v>0</v>
      </c>
      <c r="X70" s="9">
        <v>44964</v>
      </c>
      <c r="Y70" s="8">
        <v>0</v>
      </c>
      <c r="Z70" s="9">
        <v>44964</v>
      </c>
      <c r="AA70" s="8">
        <v>0</v>
      </c>
      <c r="AB70" s="9">
        <v>44964</v>
      </c>
      <c r="AC70" s="8">
        <v>0</v>
      </c>
      <c r="AD70" s="8">
        <v>0</v>
      </c>
      <c r="AE70" s="8">
        <v>0</v>
      </c>
      <c r="AF70" s="9">
        <v>44964</v>
      </c>
      <c r="AG70" s="10" t="s">
        <v>189</v>
      </c>
      <c r="AH70" s="9">
        <v>44964</v>
      </c>
      <c r="AI70" s="10" t="s">
        <v>189</v>
      </c>
      <c r="AJ70" s="9">
        <v>44964</v>
      </c>
      <c r="AK70" s="5"/>
    </row>
    <row r="71" spans="1:37" ht="27" customHeight="1">
      <c r="A71" s="1">
        <v>68</v>
      </c>
      <c r="B71" s="5"/>
      <c r="C71" s="5"/>
      <c r="D71" s="5"/>
      <c r="E71" s="30" t="s">
        <v>533</v>
      </c>
      <c r="F71" s="31" t="s">
        <v>534</v>
      </c>
      <c r="G71" s="1"/>
      <c r="H71" s="24">
        <v>1</v>
      </c>
      <c r="I71" s="5"/>
      <c r="J71" s="1"/>
      <c r="K71" s="5"/>
      <c r="L71" s="6"/>
      <c r="M71" s="5"/>
      <c r="N71" s="19">
        <v>3.13</v>
      </c>
      <c r="O71" s="8">
        <v>1</v>
      </c>
      <c r="P71" s="9">
        <v>44964</v>
      </c>
      <c r="Q71" s="8">
        <v>0</v>
      </c>
      <c r="R71" s="9">
        <v>44964</v>
      </c>
      <c r="S71" s="8">
        <v>0</v>
      </c>
      <c r="T71" s="9">
        <v>44964</v>
      </c>
      <c r="U71" s="8">
        <v>0</v>
      </c>
      <c r="V71" s="9">
        <v>44964</v>
      </c>
      <c r="W71" s="8">
        <v>0</v>
      </c>
      <c r="X71" s="9">
        <v>44964</v>
      </c>
      <c r="Y71" s="8">
        <v>0</v>
      </c>
      <c r="Z71" s="9">
        <v>44964</v>
      </c>
      <c r="AA71" s="8">
        <v>0</v>
      </c>
      <c r="AB71" s="9">
        <v>44964</v>
      </c>
      <c r="AC71" s="8">
        <v>0</v>
      </c>
      <c r="AD71" s="8">
        <v>0</v>
      </c>
      <c r="AE71" s="8">
        <v>0</v>
      </c>
      <c r="AF71" s="9">
        <v>44964</v>
      </c>
      <c r="AG71" s="10" t="s">
        <v>189</v>
      </c>
      <c r="AH71" s="9">
        <v>44964</v>
      </c>
      <c r="AI71" s="10" t="s">
        <v>189</v>
      </c>
      <c r="AJ71" s="9">
        <v>44964</v>
      </c>
      <c r="AK71" s="5"/>
    </row>
    <row r="72" spans="1:37" ht="27" customHeight="1">
      <c r="A72" s="1">
        <v>69</v>
      </c>
      <c r="B72" s="5"/>
      <c r="C72" s="5"/>
      <c r="D72" s="5"/>
      <c r="E72" s="30" t="s">
        <v>535</v>
      </c>
      <c r="F72" s="31" t="s">
        <v>536</v>
      </c>
      <c r="G72" s="1"/>
      <c r="H72" s="24">
        <v>1</v>
      </c>
      <c r="I72" s="5"/>
      <c r="J72" s="1"/>
      <c r="K72" s="5"/>
      <c r="L72" s="6"/>
      <c r="M72" s="5"/>
      <c r="N72" s="19">
        <v>3.13</v>
      </c>
      <c r="O72" s="8">
        <v>1</v>
      </c>
      <c r="P72" s="9">
        <v>44964</v>
      </c>
      <c r="Q72" s="8">
        <v>0</v>
      </c>
      <c r="R72" s="9">
        <v>44964</v>
      </c>
      <c r="S72" s="8">
        <v>0</v>
      </c>
      <c r="T72" s="9">
        <v>44964</v>
      </c>
      <c r="U72" s="8">
        <v>0</v>
      </c>
      <c r="V72" s="9">
        <v>44964</v>
      </c>
      <c r="W72" s="8">
        <v>0</v>
      </c>
      <c r="X72" s="9">
        <v>44964</v>
      </c>
      <c r="Y72" s="8">
        <v>0</v>
      </c>
      <c r="Z72" s="9">
        <v>44964</v>
      </c>
      <c r="AA72" s="8">
        <v>0</v>
      </c>
      <c r="AB72" s="9">
        <v>44964</v>
      </c>
      <c r="AC72" s="8">
        <v>0</v>
      </c>
      <c r="AD72" s="8">
        <v>0</v>
      </c>
      <c r="AE72" s="8">
        <v>0</v>
      </c>
      <c r="AF72" s="9">
        <v>44964</v>
      </c>
      <c r="AG72" s="10" t="s">
        <v>189</v>
      </c>
      <c r="AH72" s="9">
        <v>44964</v>
      </c>
      <c r="AI72" s="10" t="s">
        <v>189</v>
      </c>
      <c r="AJ72" s="9">
        <v>44964</v>
      </c>
      <c r="AK72" s="5"/>
    </row>
    <row r="73" spans="1:37" ht="27" customHeight="1">
      <c r="A73" s="1">
        <v>70</v>
      </c>
      <c r="B73" s="5"/>
      <c r="C73" s="5"/>
      <c r="D73" s="5"/>
      <c r="E73" s="30" t="s">
        <v>537</v>
      </c>
      <c r="F73" s="31" t="s">
        <v>538</v>
      </c>
      <c r="G73" s="1"/>
      <c r="H73" s="24">
        <v>1</v>
      </c>
      <c r="I73" s="5"/>
      <c r="J73" s="1"/>
      <c r="K73" s="5"/>
      <c r="L73" s="6"/>
      <c r="M73" s="5"/>
      <c r="N73" s="19">
        <v>3.13</v>
      </c>
      <c r="O73" s="8">
        <v>1</v>
      </c>
      <c r="P73" s="9">
        <v>44964</v>
      </c>
      <c r="Q73" s="8">
        <v>0</v>
      </c>
      <c r="R73" s="9">
        <v>44964</v>
      </c>
      <c r="S73" s="8">
        <v>0</v>
      </c>
      <c r="T73" s="9">
        <v>44964</v>
      </c>
      <c r="U73" s="8">
        <v>0</v>
      </c>
      <c r="V73" s="9">
        <v>44964</v>
      </c>
      <c r="W73" s="8">
        <v>0</v>
      </c>
      <c r="X73" s="9">
        <v>44964</v>
      </c>
      <c r="Y73" s="8">
        <v>0</v>
      </c>
      <c r="Z73" s="9">
        <v>44964</v>
      </c>
      <c r="AA73" s="8">
        <v>0</v>
      </c>
      <c r="AB73" s="9">
        <v>44964</v>
      </c>
      <c r="AC73" s="8">
        <v>0</v>
      </c>
      <c r="AD73" s="8">
        <v>0</v>
      </c>
      <c r="AE73" s="8">
        <v>0</v>
      </c>
      <c r="AF73" s="9">
        <v>44964</v>
      </c>
      <c r="AG73" s="10" t="s">
        <v>189</v>
      </c>
      <c r="AH73" s="9">
        <v>44964</v>
      </c>
      <c r="AI73" s="10" t="s">
        <v>189</v>
      </c>
      <c r="AJ73" s="9">
        <v>44964</v>
      </c>
      <c r="AK73" s="5"/>
    </row>
    <row r="74" spans="1:37" ht="27" customHeight="1">
      <c r="A74" s="1">
        <v>71</v>
      </c>
      <c r="B74" s="5"/>
      <c r="C74" s="5"/>
      <c r="D74" s="5"/>
      <c r="E74" s="30" t="s">
        <v>539</v>
      </c>
      <c r="F74" s="31" t="s">
        <v>540</v>
      </c>
      <c r="G74" s="1"/>
      <c r="H74" s="24">
        <v>1</v>
      </c>
      <c r="I74" s="5"/>
      <c r="J74" s="1"/>
      <c r="K74" s="5"/>
      <c r="L74" s="6"/>
      <c r="M74" s="5"/>
      <c r="N74" s="19">
        <v>3.12</v>
      </c>
      <c r="O74" s="8">
        <v>1</v>
      </c>
      <c r="P74" s="9">
        <v>44964</v>
      </c>
      <c r="Q74" s="8">
        <v>0</v>
      </c>
      <c r="R74" s="9">
        <v>44964</v>
      </c>
      <c r="S74" s="8">
        <v>0</v>
      </c>
      <c r="T74" s="9">
        <v>44964</v>
      </c>
      <c r="U74" s="8">
        <v>0</v>
      </c>
      <c r="V74" s="9">
        <v>44964</v>
      </c>
      <c r="W74" s="8">
        <v>0</v>
      </c>
      <c r="X74" s="9">
        <v>44964</v>
      </c>
      <c r="Y74" s="8">
        <v>0</v>
      </c>
      <c r="Z74" s="9">
        <v>44964</v>
      </c>
      <c r="AA74" s="8">
        <v>0</v>
      </c>
      <c r="AB74" s="9">
        <v>44964</v>
      </c>
      <c r="AC74" s="8">
        <v>0</v>
      </c>
      <c r="AD74" s="8">
        <v>0</v>
      </c>
      <c r="AE74" s="8">
        <v>0</v>
      </c>
      <c r="AF74" s="9">
        <v>44964</v>
      </c>
      <c r="AG74" s="10" t="s">
        <v>189</v>
      </c>
      <c r="AH74" s="9">
        <v>44964</v>
      </c>
      <c r="AI74" s="10" t="s">
        <v>189</v>
      </c>
      <c r="AJ74" s="9">
        <v>44964</v>
      </c>
      <c r="AK74" s="5"/>
    </row>
    <row r="75" spans="1:37" ht="27" customHeight="1">
      <c r="A75" s="1">
        <v>72</v>
      </c>
      <c r="B75" s="5"/>
      <c r="C75" s="5"/>
      <c r="D75" s="5"/>
      <c r="E75" s="30" t="s">
        <v>541</v>
      </c>
      <c r="F75" s="31" t="s">
        <v>542</v>
      </c>
      <c r="G75" s="1"/>
      <c r="H75" s="24">
        <v>1</v>
      </c>
      <c r="I75" s="5"/>
      <c r="J75" s="1"/>
      <c r="K75" s="5"/>
      <c r="L75" s="6"/>
      <c r="M75" s="5"/>
      <c r="N75" s="19">
        <v>3.12</v>
      </c>
      <c r="O75" s="8">
        <v>1</v>
      </c>
      <c r="P75" s="9">
        <v>44964</v>
      </c>
      <c r="Q75" s="8">
        <v>0</v>
      </c>
      <c r="R75" s="9">
        <v>44964</v>
      </c>
      <c r="S75" s="8">
        <v>0</v>
      </c>
      <c r="T75" s="9">
        <v>44964</v>
      </c>
      <c r="U75" s="8">
        <v>0</v>
      </c>
      <c r="V75" s="9">
        <v>44964</v>
      </c>
      <c r="W75" s="8">
        <v>0</v>
      </c>
      <c r="X75" s="9">
        <v>44964</v>
      </c>
      <c r="Y75" s="8">
        <v>0</v>
      </c>
      <c r="Z75" s="9">
        <v>44964</v>
      </c>
      <c r="AA75" s="8">
        <v>0</v>
      </c>
      <c r="AB75" s="9">
        <v>44964</v>
      </c>
      <c r="AC75" s="8">
        <v>0</v>
      </c>
      <c r="AD75" s="8">
        <v>0</v>
      </c>
      <c r="AE75" s="8">
        <v>0</v>
      </c>
      <c r="AF75" s="9">
        <v>44964</v>
      </c>
      <c r="AG75" s="10" t="s">
        <v>189</v>
      </c>
      <c r="AH75" s="9">
        <v>44964</v>
      </c>
      <c r="AI75" s="10" t="s">
        <v>189</v>
      </c>
      <c r="AJ75" s="9">
        <v>44964</v>
      </c>
      <c r="AK75" s="5"/>
    </row>
    <row r="76" spans="1:37" ht="27" customHeight="1">
      <c r="A76" s="1">
        <v>73</v>
      </c>
      <c r="B76" s="5"/>
      <c r="C76" s="5"/>
      <c r="D76" s="5"/>
      <c r="E76" s="30" t="s">
        <v>543</v>
      </c>
      <c r="F76" s="31" t="s">
        <v>544</v>
      </c>
      <c r="G76" s="1"/>
      <c r="H76" s="26">
        <v>1</v>
      </c>
      <c r="I76" s="5"/>
      <c r="J76" s="1"/>
      <c r="K76" s="5"/>
      <c r="L76" s="6"/>
      <c r="M76" s="5"/>
      <c r="N76" s="32">
        <v>3.12</v>
      </c>
      <c r="O76" s="8">
        <v>1</v>
      </c>
      <c r="P76" s="9">
        <v>44964</v>
      </c>
      <c r="Q76" s="8">
        <v>0</v>
      </c>
      <c r="R76" s="9">
        <v>44964</v>
      </c>
      <c r="S76" s="8">
        <v>0</v>
      </c>
      <c r="T76" s="9">
        <v>44964</v>
      </c>
      <c r="U76" s="8">
        <v>0</v>
      </c>
      <c r="V76" s="9">
        <v>44964</v>
      </c>
      <c r="W76" s="8">
        <v>0</v>
      </c>
      <c r="X76" s="9">
        <v>44964</v>
      </c>
      <c r="Y76" s="8">
        <v>0</v>
      </c>
      <c r="Z76" s="9">
        <v>44964</v>
      </c>
      <c r="AA76" s="8">
        <v>0</v>
      </c>
      <c r="AB76" s="9">
        <v>44964</v>
      </c>
      <c r="AC76" s="8">
        <v>0</v>
      </c>
      <c r="AD76" s="8">
        <v>0</v>
      </c>
      <c r="AE76" s="8">
        <v>0</v>
      </c>
      <c r="AF76" s="9">
        <v>44964</v>
      </c>
      <c r="AG76" s="10" t="s">
        <v>189</v>
      </c>
      <c r="AH76" s="9">
        <v>44964</v>
      </c>
      <c r="AI76" s="10" t="s">
        <v>189</v>
      </c>
      <c r="AJ76" s="9">
        <v>44964</v>
      </c>
      <c r="AK76" s="5"/>
    </row>
    <row r="77" spans="1:37" ht="27" customHeight="1">
      <c r="A77" s="1">
        <v>74</v>
      </c>
      <c r="B77" s="5"/>
      <c r="C77" s="5"/>
      <c r="D77" s="5"/>
      <c r="E77" s="30" t="s">
        <v>545</v>
      </c>
      <c r="F77" s="31" t="s">
        <v>546</v>
      </c>
      <c r="G77" s="1"/>
      <c r="H77" s="24">
        <v>1</v>
      </c>
      <c r="I77" s="5"/>
      <c r="J77" s="1"/>
      <c r="K77" s="5"/>
      <c r="L77" s="6"/>
      <c r="M77" s="5"/>
      <c r="N77" s="19">
        <v>3.12</v>
      </c>
      <c r="O77" s="8">
        <v>1</v>
      </c>
      <c r="P77" s="9">
        <v>44964</v>
      </c>
      <c r="Q77" s="8">
        <v>0</v>
      </c>
      <c r="R77" s="9">
        <v>44964</v>
      </c>
      <c r="S77" s="8">
        <v>0</v>
      </c>
      <c r="T77" s="9">
        <v>44964</v>
      </c>
      <c r="U77" s="8">
        <v>0</v>
      </c>
      <c r="V77" s="9">
        <v>44964</v>
      </c>
      <c r="W77" s="8">
        <v>0</v>
      </c>
      <c r="X77" s="9">
        <v>44964</v>
      </c>
      <c r="Y77" s="8">
        <v>0</v>
      </c>
      <c r="Z77" s="9">
        <v>44964</v>
      </c>
      <c r="AA77" s="8">
        <v>0</v>
      </c>
      <c r="AB77" s="9">
        <v>44964</v>
      </c>
      <c r="AC77" s="8">
        <v>0</v>
      </c>
      <c r="AD77" s="8">
        <v>0</v>
      </c>
      <c r="AE77" s="8">
        <v>0</v>
      </c>
      <c r="AF77" s="9">
        <v>44964</v>
      </c>
      <c r="AG77" s="10" t="s">
        <v>189</v>
      </c>
      <c r="AH77" s="9">
        <v>44964</v>
      </c>
      <c r="AI77" s="10" t="s">
        <v>189</v>
      </c>
      <c r="AJ77" s="9">
        <v>44964</v>
      </c>
      <c r="AK77" s="5"/>
    </row>
    <row r="78" spans="1:37" ht="27" customHeight="1">
      <c r="A78" s="1">
        <v>75</v>
      </c>
      <c r="B78" s="5"/>
      <c r="C78" s="5"/>
      <c r="D78" s="5"/>
      <c r="E78" s="30" t="s">
        <v>547</v>
      </c>
      <c r="F78" s="31" t="s">
        <v>548</v>
      </c>
      <c r="G78" s="1"/>
      <c r="H78" s="26">
        <v>1</v>
      </c>
      <c r="I78" s="5"/>
      <c r="J78" s="1"/>
      <c r="K78" s="5"/>
      <c r="L78" s="6"/>
      <c r="M78" s="5"/>
      <c r="N78" s="32">
        <v>3.15</v>
      </c>
      <c r="O78" s="8">
        <v>1</v>
      </c>
      <c r="P78" s="9">
        <v>44964</v>
      </c>
      <c r="Q78" s="8">
        <v>0</v>
      </c>
      <c r="R78" s="9">
        <v>44964</v>
      </c>
      <c r="S78" s="8">
        <v>0</v>
      </c>
      <c r="T78" s="9">
        <v>44964</v>
      </c>
      <c r="U78" s="8">
        <v>0</v>
      </c>
      <c r="V78" s="9">
        <v>44964</v>
      </c>
      <c r="W78" s="8">
        <v>0</v>
      </c>
      <c r="X78" s="9">
        <v>44964</v>
      </c>
      <c r="Y78" s="8">
        <v>0</v>
      </c>
      <c r="Z78" s="9">
        <v>44964</v>
      </c>
      <c r="AA78" s="8">
        <v>0</v>
      </c>
      <c r="AB78" s="9">
        <v>44964</v>
      </c>
      <c r="AC78" s="8">
        <v>0</v>
      </c>
      <c r="AD78" s="8">
        <v>0</v>
      </c>
      <c r="AE78" s="8">
        <v>0</v>
      </c>
      <c r="AF78" s="9">
        <v>44964</v>
      </c>
      <c r="AG78" s="10" t="s">
        <v>189</v>
      </c>
      <c r="AH78" s="9">
        <v>44964</v>
      </c>
      <c r="AI78" s="10" t="s">
        <v>189</v>
      </c>
      <c r="AJ78" s="9">
        <v>44964</v>
      </c>
      <c r="AK78" s="5"/>
    </row>
    <row r="79" spans="1:37" ht="27" customHeight="1">
      <c r="A79" s="1">
        <v>76</v>
      </c>
      <c r="B79" s="5"/>
      <c r="C79" s="5"/>
      <c r="D79" s="5"/>
      <c r="E79" s="30" t="s">
        <v>549</v>
      </c>
      <c r="F79" s="31" t="s">
        <v>550</v>
      </c>
      <c r="G79" s="1"/>
      <c r="H79" s="26">
        <v>1</v>
      </c>
      <c r="I79" s="5"/>
      <c r="J79" s="1"/>
      <c r="K79" s="5"/>
      <c r="L79" s="6"/>
      <c r="M79" s="5"/>
      <c r="N79" s="32">
        <v>3.15</v>
      </c>
      <c r="O79" s="8">
        <v>1</v>
      </c>
      <c r="P79" s="9">
        <v>44964</v>
      </c>
      <c r="Q79" s="8">
        <v>0</v>
      </c>
      <c r="R79" s="9">
        <v>44964</v>
      </c>
      <c r="S79" s="8">
        <v>0</v>
      </c>
      <c r="T79" s="9">
        <v>44964</v>
      </c>
      <c r="U79" s="8">
        <v>0</v>
      </c>
      <c r="V79" s="9">
        <v>44964</v>
      </c>
      <c r="W79" s="8">
        <v>0</v>
      </c>
      <c r="X79" s="9">
        <v>44964</v>
      </c>
      <c r="Y79" s="8">
        <v>0</v>
      </c>
      <c r="Z79" s="9">
        <v>44964</v>
      </c>
      <c r="AA79" s="8">
        <v>0</v>
      </c>
      <c r="AB79" s="9">
        <v>44964</v>
      </c>
      <c r="AC79" s="8">
        <v>0</v>
      </c>
      <c r="AD79" s="8">
        <v>0</v>
      </c>
      <c r="AE79" s="8">
        <v>0</v>
      </c>
      <c r="AF79" s="9">
        <v>44964</v>
      </c>
      <c r="AG79" s="10" t="s">
        <v>189</v>
      </c>
      <c r="AH79" s="9">
        <v>44964</v>
      </c>
      <c r="AI79" s="10" t="s">
        <v>189</v>
      </c>
      <c r="AJ79" s="9">
        <v>44964</v>
      </c>
      <c r="AK79" s="5"/>
    </row>
    <row r="80" spans="1:37" ht="27" hidden="1" customHeight="1">
      <c r="A80" s="1">
        <v>77</v>
      </c>
      <c r="B80" s="5"/>
      <c r="C80" s="5"/>
      <c r="D80" s="5"/>
      <c r="E80" s="30" t="s">
        <v>551</v>
      </c>
      <c r="F80" s="31" t="s">
        <v>552</v>
      </c>
      <c r="G80" s="1"/>
      <c r="H80" s="24">
        <v>1</v>
      </c>
      <c r="I80" s="5"/>
      <c r="J80" s="1"/>
      <c r="K80" s="5"/>
      <c r="L80" s="6"/>
      <c r="M80" s="5"/>
      <c r="N80" s="19">
        <v>3.15</v>
      </c>
      <c r="O80" s="35"/>
      <c r="P80" s="9">
        <v>44964</v>
      </c>
      <c r="Q80" s="8">
        <v>0</v>
      </c>
      <c r="R80" s="9">
        <v>44964</v>
      </c>
      <c r="S80" s="8">
        <v>0</v>
      </c>
      <c r="T80" s="9">
        <v>44964</v>
      </c>
      <c r="U80" s="8">
        <v>0</v>
      </c>
      <c r="V80" s="9">
        <v>44964</v>
      </c>
      <c r="W80" s="8">
        <v>0</v>
      </c>
      <c r="X80" s="9">
        <v>44964</v>
      </c>
      <c r="Y80" s="8">
        <v>0</v>
      </c>
      <c r="Z80" s="9">
        <v>44964</v>
      </c>
      <c r="AA80" s="8">
        <v>0</v>
      </c>
      <c r="AB80" s="9">
        <v>44964</v>
      </c>
      <c r="AC80" s="8">
        <v>0</v>
      </c>
      <c r="AD80" s="8">
        <v>0</v>
      </c>
      <c r="AE80" s="8">
        <v>0</v>
      </c>
      <c r="AF80" s="9">
        <v>44964</v>
      </c>
      <c r="AG80" s="10" t="s">
        <v>189</v>
      </c>
      <c r="AH80" s="9">
        <v>44964</v>
      </c>
      <c r="AI80" s="10" t="s">
        <v>189</v>
      </c>
      <c r="AJ80" s="9">
        <v>44964</v>
      </c>
      <c r="AK80" s="5"/>
    </row>
    <row r="81" spans="1:37" ht="27" customHeight="1">
      <c r="A81" s="1">
        <v>78</v>
      </c>
      <c r="B81" s="5"/>
      <c r="C81" s="5"/>
      <c r="D81" s="5"/>
      <c r="E81" s="30" t="s">
        <v>553</v>
      </c>
      <c r="F81" s="31" t="s">
        <v>554</v>
      </c>
      <c r="G81" s="1"/>
      <c r="H81" s="24">
        <v>1</v>
      </c>
      <c r="I81" s="5"/>
      <c r="J81" s="1"/>
      <c r="K81" s="5"/>
      <c r="L81" s="6"/>
      <c r="M81" s="5"/>
      <c r="N81" s="19">
        <v>3.15</v>
      </c>
      <c r="O81" s="8">
        <v>1</v>
      </c>
      <c r="P81" s="9">
        <v>44964</v>
      </c>
      <c r="Q81" s="8">
        <v>0</v>
      </c>
      <c r="R81" s="9">
        <v>44964</v>
      </c>
      <c r="S81" s="8">
        <v>0</v>
      </c>
      <c r="T81" s="9">
        <v>44964</v>
      </c>
      <c r="U81" s="8">
        <v>0</v>
      </c>
      <c r="V81" s="9">
        <v>44964</v>
      </c>
      <c r="W81" s="8">
        <v>0</v>
      </c>
      <c r="X81" s="9">
        <v>44964</v>
      </c>
      <c r="Y81" s="8">
        <v>0</v>
      </c>
      <c r="Z81" s="9">
        <v>44964</v>
      </c>
      <c r="AA81" s="8">
        <v>0</v>
      </c>
      <c r="AB81" s="9">
        <v>44964</v>
      </c>
      <c r="AC81" s="8">
        <v>0</v>
      </c>
      <c r="AD81" s="8">
        <v>0</v>
      </c>
      <c r="AE81" s="8">
        <v>0</v>
      </c>
      <c r="AF81" s="9">
        <v>44964</v>
      </c>
      <c r="AG81" s="10" t="s">
        <v>189</v>
      </c>
      <c r="AH81" s="9">
        <v>44964</v>
      </c>
      <c r="AI81" s="10" t="s">
        <v>189</v>
      </c>
      <c r="AJ81" s="9">
        <v>44964</v>
      </c>
      <c r="AK81" s="5"/>
    </row>
    <row r="82" spans="1:37" ht="27" customHeight="1">
      <c r="A82" s="1">
        <v>79</v>
      </c>
      <c r="B82" s="5"/>
      <c r="C82" s="5"/>
      <c r="D82" s="5"/>
      <c r="E82" s="30" t="s">
        <v>555</v>
      </c>
      <c r="F82" s="31" t="s">
        <v>556</v>
      </c>
      <c r="G82" s="1"/>
      <c r="H82" s="24">
        <v>1</v>
      </c>
      <c r="I82" s="5"/>
      <c r="J82" s="1"/>
      <c r="K82" s="5"/>
      <c r="L82" s="6"/>
      <c r="M82" s="5"/>
      <c r="N82" s="19">
        <v>3.15</v>
      </c>
      <c r="O82" s="8">
        <v>1</v>
      </c>
      <c r="P82" s="9">
        <v>44964</v>
      </c>
      <c r="Q82" s="8">
        <v>0</v>
      </c>
      <c r="R82" s="9">
        <v>44964</v>
      </c>
      <c r="S82" s="8">
        <v>0</v>
      </c>
      <c r="T82" s="9">
        <v>44964</v>
      </c>
      <c r="U82" s="8">
        <v>0</v>
      </c>
      <c r="V82" s="9">
        <v>44964</v>
      </c>
      <c r="W82" s="8">
        <v>0</v>
      </c>
      <c r="X82" s="9">
        <v>44964</v>
      </c>
      <c r="Y82" s="8">
        <v>0</v>
      </c>
      <c r="Z82" s="9">
        <v>44964</v>
      </c>
      <c r="AA82" s="8">
        <v>0</v>
      </c>
      <c r="AB82" s="9">
        <v>44964</v>
      </c>
      <c r="AC82" s="8">
        <v>0</v>
      </c>
      <c r="AD82" s="8">
        <v>0</v>
      </c>
      <c r="AE82" s="8">
        <v>0</v>
      </c>
      <c r="AF82" s="9">
        <v>44964</v>
      </c>
      <c r="AG82" s="10" t="s">
        <v>189</v>
      </c>
      <c r="AH82" s="9">
        <v>44964</v>
      </c>
      <c r="AI82" s="10" t="s">
        <v>189</v>
      </c>
      <c r="AJ82" s="9">
        <v>44964</v>
      </c>
      <c r="AK82" s="5"/>
    </row>
    <row r="83" spans="1:37" ht="27" customHeight="1">
      <c r="A83" s="1">
        <v>80</v>
      </c>
      <c r="B83" s="5"/>
      <c r="C83" s="5"/>
      <c r="D83" s="5"/>
      <c r="E83" s="30" t="s">
        <v>557</v>
      </c>
      <c r="F83" s="31" t="s">
        <v>558</v>
      </c>
      <c r="G83" s="1"/>
      <c r="H83" s="24">
        <v>1</v>
      </c>
      <c r="I83" s="5"/>
      <c r="J83" s="1"/>
      <c r="K83" s="5"/>
      <c r="L83" s="6"/>
      <c r="M83" s="5"/>
      <c r="N83" s="19">
        <v>3.15</v>
      </c>
      <c r="O83" s="8">
        <v>1</v>
      </c>
      <c r="P83" s="9">
        <v>44964</v>
      </c>
      <c r="Q83" s="8">
        <v>0</v>
      </c>
      <c r="R83" s="9">
        <v>44964</v>
      </c>
      <c r="S83" s="8">
        <v>0</v>
      </c>
      <c r="T83" s="9">
        <v>44964</v>
      </c>
      <c r="U83" s="8">
        <v>0</v>
      </c>
      <c r="V83" s="9">
        <v>44964</v>
      </c>
      <c r="W83" s="8">
        <v>0</v>
      </c>
      <c r="X83" s="9">
        <v>44964</v>
      </c>
      <c r="Y83" s="8">
        <v>0</v>
      </c>
      <c r="Z83" s="9">
        <v>44964</v>
      </c>
      <c r="AA83" s="8">
        <v>0</v>
      </c>
      <c r="AB83" s="9">
        <v>44964</v>
      </c>
      <c r="AC83" s="8">
        <v>0</v>
      </c>
      <c r="AD83" s="8">
        <v>0</v>
      </c>
      <c r="AE83" s="8">
        <v>0</v>
      </c>
      <c r="AF83" s="9">
        <v>44964</v>
      </c>
      <c r="AG83" s="10" t="s">
        <v>189</v>
      </c>
      <c r="AH83" s="9">
        <v>44964</v>
      </c>
      <c r="AI83" s="10" t="s">
        <v>189</v>
      </c>
      <c r="AJ83" s="9">
        <v>44964</v>
      </c>
      <c r="AK83" s="5"/>
    </row>
    <row r="84" spans="1:37" ht="27" customHeight="1">
      <c r="A84" s="1">
        <v>81</v>
      </c>
      <c r="B84" s="5"/>
      <c r="C84" s="5"/>
      <c r="D84" s="5"/>
      <c r="E84" s="30" t="s">
        <v>559</v>
      </c>
      <c r="F84" s="31" t="s">
        <v>560</v>
      </c>
      <c r="G84" s="1"/>
      <c r="H84" s="24">
        <v>1</v>
      </c>
      <c r="I84" s="5"/>
      <c r="J84" s="1"/>
      <c r="K84" s="5"/>
      <c r="L84" s="6"/>
      <c r="M84" s="5"/>
      <c r="N84" s="19">
        <v>3.15</v>
      </c>
      <c r="O84" s="8">
        <v>1</v>
      </c>
      <c r="P84" s="9">
        <v>44964</v>
      </c>
      <c r="Q84" s="8">
        <v>0</v>
      </c>
      <c r="R84" s="9">
        <v>44964</v>
      </c>
      <c r="S84" s="8">
        <v>0</v>
      </c>
      <c r="T84" s="9">
        <v>44964</v>
      </c>
      <c r="U84" s="8">
        <v>0</v>
      </c>
      <c r="V84" s="9">
        <v>44964</v>
      </c>
      <c r="W84" s="8">
        <v>0</v>
      </c>
      <c r="X84" s="9">
        <v>44964</v>
      </c>
      <c r="Y84" s="8">
        <v>0</v>
      </c>
      <c r="Z84" s="9">
        <v>44964</v>
      </c>
      <c r="AA84" s="8">
        <v>0</v>
      </c>
      <c r="AB84" s="9">
        <v>44964</v>
      </c>
      <c r="AC84" s="8">
        <v>0</v>
      </c>
      <c r="AD84" s="8">
        <v>0</v>
      </c>
      <c r="AE84" s="8">
        <v>0</v>
      </c>
      <c r="AF84" s="9">
        <v>44964</v>
      </c>
      <c r="AG84" s="10" t="s">
        <v>189</v>
      </c>
      <c r="AH84" s="9">
        <v>44964</v>
      </c>
      <c r="AI84" s="10" t="s">
        <v>189</v>
      </c>
      <c r="AJ84" s="9">
        <v>44964</v>
      </c>
      <c r="AK84" s="5"/>
    </row>
    <row r="85" spans="1:37" ht="27" customHeight="1">
      <c r="A85" s="1">
        <v>82</v>
      </c>
      <c r="B85" s="5"/>
      <c r="C85" s="5"/>
      <c r="D85" s="5"/>
      <c r="E85" s="30" t="s">
        <v>561</v>
      </c>
      <c r="F85" s="31" t="s">
        <v>562</v>
      </c>
      <c r="G85" s="1"/>
      <c r="H85" s="24">
        <v>1</v>
      </c>
      <c r="I85" s="5"/>
      <c r="J85" s="1"/>
      <c r="K85" s="5"/>
      <c r="L85" s="6"/>
      <c r="M85" s="5"/>
      <c r="N85" s="19">
        <v>3.15</v>
      </c>
      <c r="O85" s="8">
        <v>1</v>
      </c>
      <c r="P85" s="9">
        <v>44964</v>
      </c>
      <c r="Q85" s="8">
        <v>0</v>
      </c>
      <c r="R85" s="9">
        <v>44964</v>
      </c>
      <c r="S85" s="8">
        <v>0</v>
      </c>
      <c r="T85" s="9">
        <v>44964</v>
      </c>
      <c r="U85" s="8">
        <v>0</v>
      </c>
      <c r="V85" s="9">
        <v>44964</v>
      </c>
      <c r="W85" s="8">
        <v>0</v>
      </c>
      <c r="X85" s="9">
        <v>44964</v>
      </c>
      <c r="Y85" s="8">
        <v>0</v>
      </c>
      <c r="Z85" s="9">
        <v>44964</v>
      </c>
      <c r="AA85" s="8">
        <v>0</v>
      </c>
      <c r="AB85" s="9">
        <v>44964</v>
      </c>
      <c r="AC85" s="8">
        <v>0</v>
      </c>
      <c r="AD85" s="8">
        <v>0</v>
      </c>
      <c r="AE85" s="8">
        <v>0</v>
      </c>
      <c r="AF85" s="9">
        <v>44964</v>
      </c>
      <c r="AG85" s="10" t="s">
        <v>189</v>
      </c>
      <c r="AH85" s="9">
        <v>44964</v>
      </c>
      <c r="AI85" s="10" t="s">
        <v>189</v>
      </c>
      <c r="AJ85" s="9">
        <v>44964</v>
      </c>
      <c r="AK85" s="5"/>
    </row>
    <row r="86" spans="1:37" ht="27" customHeight="1">
      <c r="A86" s="1">
        <v>83</v>
      </c>
      <c r="B86" s="5"/>
      <c r="C86" s="5"/>
      <c r="D86" s="5"/>
      <c r="E86" s="30" t="s">
        <v>563</v>
      </c>
      <c r="F86" s="31" t="s">
        <v>564</v>
      </c>
      <c r="G86" s="1"/>
      <c r="H86" s="24">
        <v>1</v>
      </c>
      <c r="I86" s="5"/>
      <c r="J86" s="1"/>
      <c r="K86" s="5"/>
      <c r="L86" s="6"/>
      <c r="M86" s="5"/>
      <c r="N86" s="19">
        <v>3.15</v>
      </c>
      <c r="O86" s="8">
        <v>1</v>
      </c>
      <c r="P86" s="9">
        <v>44964</v>
      </c>
      <c r="Q86" s="8">
        <v>0</v>
      </c>
      <c r="R86" s="9">
        <v>44964</v>
      </c>
      <c r="S86" s="8">
        <v>0</v>
      </c>
      <c r="T86" s="9">
        <v>44964</v>
      </c>
      <c r="U86" s="8">
        <v>0</v>
      </c>
      <c r="V86" s="9">
        <v>44964</v>
      </c>
      <c r="W86" s="8">
        <v>0</v>
      </c>
      <c r="X86" s="9">
        <v>44964</v>
      </c>
      <c r="Y86" s="8">
        <v>0</v>
      </c>
      <c r="Z86" s="9">
        <v>44964</v>
      </c>
      <c r="AA86" s="8">
        <v>0</v>
      </c>
      <c r="AB86" s="9">
        <v>44964</v>
      </c>
      <c r="AC86" s="8">
        <v>0</v>
      </c>
      <c r="AD86" s="8">
        <v>0</v>
      </c>
      <c r="AE86" s="8">
        <v>0</v>
      </c>
      <c r="AF86" s="9">
        <v>44964</v>
      </c>
      <c r="AG86" s="10" t="s">
        <v>189</v>
      </c>
      <c r="AH86" s="9">
        <v>44964</v>
      </c>
      <c r="AI86" s="10" t="s">
        <v>189</v>
      </c>
      <c r="AJ86" s="9">
        <v>44964</v>
      </c>
      <c r="AK86" s="5"/>
    </row>
    <row r="87" spans="1:37" ht="27" customHeight="1">
      <c r="A87" s="1">
        <v>84</v>
      </c>
      <c r="B87" s="5"/>
      <c r="C87" s="5"/>
      <c r="D87" s="5"/>
      <c r="E87" s="30" t="s">
        <v>565</v>
      </c>
      <c r="F87" s="31" t="s">
        <v>566</v>
      </c>
      <c r="G87" s="1"/>
      <c r="H87" s="24">
        <v>1</v>
      </c>
      <c r="I87" s="5"/>
      <c r="J87" s="1"/>
      <c r="K87" s="5"/>
      <c r="L87" s="6"/>
      <c r="M87" s="5"/>
      <c r="N87" s="19">
        <v>3.15</v>
      </c>
      <c r="O87" s="8">
        <v>1</v>
      </c>
      <c r="P87" s="9">
        <v>44964</v>
      </c>
      <c r="Q87" s="8">
        <v>0</v>
      </c>
      <c r="R87" s="9">
        <v>44964</v>
      </c>
      <c r="S87" s="8">
        <v>0</v>
      </c>
      <c r="T87" s="9">
        <v>44964</v>
      </c>
      <c r="U87" s="8">
        <v>0</v>
      </c>
      <c r="V87" s="9">
        <v>44964</v>
      </c>
      <c r="W87" s="8">
        <v>0</v>
      </c>
      <c r="X87" s="9">
        <v>44964</v>
      </c>
      <c r="Y87" s="8">
        <v>0</v>
      </c>
      <c r="Z87" s="9">
        <v>44964</v>
      </c>
      <c r="AA87" s="8">
        <v>0</v>
      </c>
      <c r="AB87" s="9">
        <v>44964</v>
      </c>
      <c r="AC87" s="8">
        <v>0</v>
      </c>
      <c r="AD87" s="8">
        <v>0</v>
      </c>
      <c r="AE87" s="8">
        <v>0</v>
      </c>
      <c r="AF87" s="9">
        <v>44964</v>
      </c>
      <c r="AG87" s="10" t="s">
        <v>189</v>
      </c>
      <c r="AH87" s="9">
        <v>44964</v>
      </c>
      <c r="AI87" s="10" t="s">
        <v>189</v>
      </c>
      <c r="AJ87" s="9">
        <v>44964</v>
      </c>
      <c r="AK87" s="5"/>
    </row>
    <row r="88" spans="1:37" ht="27" customHeight="1">
      <c r="A88" s="1">
        <v>85</v>
      </c>
      <c r="B88" s="5"/>
      <c r="C88" s="5"/>
      <c r="D88" s="5"/>
      <c r="E88" s="30" t="s">
        <v>567</v>
      </c>
      <c r="F88" s="31" t="s">
        <v>568</v>
      </c>
      <c r="G88" s="1"/>
      <c r="H88" s="26">
        <v>1</v>
      </c>
      <c r="I88" s="5"/>
      <c r="J88" s="1"/>
      <c r="K88" s="5"/>
      <c r="L88" s="6"/>
      <c r="M88" s="5"/>
      <c r="N88" s="32">
        <v>3.15</v>
      </c>
      <c r="O88" s="8">
        <v>1</v>
      </c>
      <c r="P88" s="9">
        <v>44964</v>
      </c>
      <c r="Q88" s="8">
        <v>0</v>
      </c>
      <c r="R88" s="9">
        <v>44964</v>
      </c>
      <c r="S88" s="8">
        <v>0</v>
      </c>
      <c r="T88" s="9">
        <v>44964</v>
      </c>
      <c r="U88" s="8">
        <v>0</v>
      </c>
      <c r="V88" s="9">
        <v>44964</v>
      </c>
      <c r="W88" s="8">
        <v>0</v>
      </c>
      <c r="X88" s="9">
        <v>44964</v>
      </c>
      <c r="Y88" s="8">
        <v>0</v>
      </c>
      <c r="Z88" s="9">
        <v>44964</v>
      </c>
      <c r="AA88" s="8">
        <v>0</v>
      </c>
      <c r="AB88" s="9">
        <v>44964</v>
      </c>
      <c r="AC88" s="8">
        <v>0</v>
      </c>
      <c r="AD88" s="8">
        <v>0</v>
      </c>
      <c r="AE88" s="8">
        <v>0</v>
      </c>
      <c r="AF88" s="9">
        <v>44964</v>
      </c>
      <c r="AG88" s="10" t="s">
        <v>189</v>
      </c>
      <c r="AH88" s="9">
        <v>44964</v>
      </c>
      <c r="AI88" s="10" t="s">
        <v>189</v>
      </c>
      <c r="AJ88" s="9">
        <v>44964</v>
      </c>
      <c r="AK88" s="5"/>
    </row>
    <row r="89" spans="1:37" ht="27" customHeight="1">
      <c r="A89" s="1">
        <v>86</v>
      </c>
      <c r="B89" s="5"/>
      <c r="C89" s="5"/>
      <c r="D89" s="5"/>
      <c r="E89" s="30" t="s">
        <v>569</v>
      </c>
      <c r="F89" s="31" t="s">
        <v>570</v>
      </c>
      <c r="G89" s="1"/>
      <c r="H89" s="24">
        <v>1</v>
      </c>
      <c r="I89" s="5"/>
      <c r="J89" s="1"/>
      <c r="K89" s="5"/>
      <c r="L89" s="6"/>
      <c r="M89" s="5"/>
      <c r="N89" s="19">
        <v>3.15</v>
      </c>
      <c r="O89" s="8">
        <v>1</v>
      </c>
      <c r="P89" s="9">
        <v>44964</v>
      </c>
      <c r="Q89" s="8">
        <v>0</v>
      </c>
      <c r="R89" s="9">
        <v>44964</v>
      </c>
      <c r="S89" s="8">
        <v>0</v>
      </c>
      <c r="T89" s="9">
        <v>44964</v>
      </c>
      <c r="U89" s="8">
        <v>0</v>
      </c>
      <c r="V89" s="9">
        <v>44964</v>
      </c>
      <c r="W89" s="8">
        <v>0</v>
      </c>
      <c r="X89" s="9">
        <v>44964</v>
      </c>
      <c r="Y89" s="8">
        <v>0</v>
      </c>
      <c r="Z89" s="9">
        <v>44964</v>
      </c>
      <c r="AA89" s="8">
        <v>0</v>
      </c>
      <c r="AB89" s="9">
        <v>44964</v>
      </c>
      <c r="AC89" s="8">
        <v>0</v>
      </c>
      <c r="AD89" s="8">
        <v>0</v>
      </c>
      <c r="AE89" s="8">
        <v>0</v>
      </c>
      <c r="AF89" s="9">
        <v>44964</v>
      </c>
      <c r="AG89" s="10" t="s">
        <v>189</v>
      </c>
      <c r="AH89" s="9">
        <v>44964</v>
      </c>
      <c r="AI89" s="10" t="s">
        <v>189</v>
      </c>
      <c r="AJ89" s="9">
        <v>44964</v>
      </c>
      <c r="AK89" s="5"/>
    </row>
    <row r="90" spans="1:37" ht="27" customHeight="1">
      <c r="A90" s="1">
        <v>87</v>
      </c>
      <c r="B90" s="5"/>
      <c r="C90" s="5"/>
      <c r="D90" s="5"/>
      <c r="E90" s="30" t="s">
        <v>571</v>
      </c>
      <c r="F90" s="31" t="s">
        <v>572</v>
      </c>
      <c r="G90" s="1"/>
      <c r="H90" s="24">
        <v>1</v>
      </c>
      <c r="I90" s="5"/>
      <c r="J90" s="1"/>
      <c r="K90" s="5"/>
      <c r="L90" s="6"/>
      <c r="M90" s="5"/>
      <c r="N90" s="19">
        <v>3.15</v>
      </c>
      <c r="O90" s="8">
        <v>1</v>
      </c>
      <c r="P90" s="9">
        <v>44964</v>
      </c>
      <c r="Q90" s="8">
        <v>0</v>
      </c>
      <c r="R90" s="9">
        <v>44964</v>
      </c>
      <c r="S90" s="8">
        <v>0</v>
      </c>
      <c r="T90" s="9">
        <v>44964</v>
      </c>
      <c r="U90" s="8">
        <v>0</v>
      </c>
      <c r="V90" s="9">
        <v>44964</v>
      </c>
      <c r="W90" s="8">
        <v>0</v>
      </c>
      <c r="X90" s="9">
        <v>44964</v>
      </c>
      <c r="Y90" s="8">
        <v>0</v>
      </c>
      <c r="Z90" s="9">
        <v>44964</v>
      </c>
      <c r="AA90" s="8">
        <v>0</v>
      </c>
      <c r="AB90" s="9">
        <v>44964</v>
      </c>
      <c r="AC90" s="8">
        <v>0</v>
      </c>
      <c r="AD90" s="8">
        <v>0</v>
      </c>
      <c r="AE90" s="8">
        <v>0</v>
      </c>
      <c r="AF90" s="9">
        <v>44964</v>
      </c>
      <c r="AG90" s="10" t="s">
        <v>189</v>
      </c>
      <c r="AH90" s="9">
        <v>44964</v>
      </c>
      <c r="AI90" s="10" t="s">
        <v>189</v>
      </c>
      <c r="AJ90" s="9">
        <v>44964</v>
      </c>
      <c r="AK90" s="5"/>
    </row>
    <row r="91" spans="1:37" ht="27" customHeight="1">
      <c r="A91" s="1">
        <v>88</v>
      </c>
      <c r="B91" s="5"/>
      <c r="C91" s="5"/>
      <c r="D91" s="5"/>
      <c r="E91" s="30" t="s">
        <v>573</v>
      </c>
      <c r="F91" s="31" t="s">
        <v>574</v>
      </c>
      <c r="G91" s="1"/>
      <c r="H91" s="24">
        <v>1</v>
      </c>
      <c r="I91" s="5"/>
      <c r="J91" s="1"/>
      <c r="K91" s="5"/>
      <c r="L91" s="6"/>
      <c r="M91" s="5"/>
      <c r="N91" s="19">
        <v>3.15</v>
      </c>
      <c r="O91" s="8">
        <v>1</v>
      </c>
      <c r="P91" s="9">
        <v>44964</v>
      </c>
      <c r="Q91" s="8">
        <v>0</v>
      </c>
      <c r="R91" s="9">
        <v>44964</v>
      </c>
      <c r="S91" s="8">
        <v>0</v>
      </c>
      <c r="T91" s="9">
        <v>44964</v>
      </c>
      <c r="U91" s="8">
        <v>0</v>
      </c>
      <c r="V91" s="9">
        <v>44964</v>
      </c>
      <c r="W91" s="8">
        <v>0</v>
      </c>
      <c r="X91" s="9">
        <v>44964</v>
      </c>
      <c r="Y91" s="8">
        <v>0</v>
      </c>
      <c r="Z91" s="9">
        <v>44964</v>
      </c>
      <c r="AA91" s="8">
        <v>0</v>
      </c>
      <c r="AB91" s="9">
        <v>44964</v>
      </c>
      <c r="AC91" s="8">
        <v>0</v>
      </c>
      <c r="AD91" s="8">
        <v>0</v>
      </c>
      <c r="AE91" s="8">
        <v>0</v>
      </c>
      <c r="AF91" s="9">
        <v>44964</v>
      </c>
      <c r="AG91" s="10" t="s">
        <v>189</v>
      </c>
      <c r="AH91" s="9">
        <v>44964</v>
      </c>
      <c r="AI91" s="10" t="s">
        <v>189</v>
      </c>
      <c r="AJ91" s="9">
        <v>44964</v>
      </c>
      <c r="AK91" s="5"/>
    </row>
    <row r="92" spans="1:37" ht="27" customHeight="1">
      <c r="A92" s="1">
        <v>89</v>
      </c>
      <c r="B92" s="5"/>
      <c r="C92" s="5"/>
      <c r="D92" s="5"/>
      <c r="E92" s="30" t="s">
        <v>575</v>
      </c>
      <c r="F92" s="31" t="s">
        <v>576</v>
      </c>
      <c r="G92" s="1"/>
      <c r="H92" s="24">
        <v>1</v>
      </c>
      <c r="I92" s="5"/>
      <c r="J92" s="1"/>
      <c r="K92" s="5"/>
      <c r="L92" s="6"/>
      <c r="M92" s="5"/>
      <c r="N92" s="19">
        <v>3.15</v>
      </c>
      <c r="O92" s="8">
        <v>1</v>
      </c>
      <c r="P92" s="9">
        <v>44964</v>
      </c>
      <c r="Q92" s="8">
        <v>0</v>
      </c>
      <c r="R92" s="9">
        <v>44964</v>
      </c>
      <c r="S92" s="8">
        <v>0</v>
      </c>
      <c r="T92" s="9">
        <v>44964</v>
      </c>
      <c r="U92" s="8">
        <v>0</v>
      </c>
      <c r="V92" s="9">
        <v>44964</v>
      </c>
      <c r="W92" s="8">
        <v>0</v>
      </c>
      <c r="X92" s="9">
        <v>44964</v>
      </c>
      <c r="Y92" s="8">
        <v>0</v>
      </c>
      <c r="Z92" s="9">
        <v>44964</v>
      </c>
      <c r="AA92" s="8">
        <v>0</v>
      </c>
      <c r="AB92" s="9">
        <v>44964</v>
      </c>
      <c r="AC92" s="8">
        <v>0</v>
      </c>
      <c r="AD92" s="8">
        <v>0</v>
      </c>
      <c r="AE92" s="8">
        <v>0</v>
      </c>
      <c r="AF92" s="9">
        <v>44964</v>
      </c>
      <c r="AG92" s="10" t="s">
        <v>189</v>
      </c>
      <c r="AH92" s="9">
        <v>44964</v>
      </c>
      <c r="AI92" s="10" t="s">
        <v>189</v>
      </c>
      <c r="AJ92" s="9">
        <v>44964</v>
      </c>
      <c r="AK92" s="5"/>
    </row>
    <row r="93" spans="1:37" ht="27" customHeight="1">
      <c r="A93" s="1">
        <v>90</v>
      </c>
      <c r="B93" s="5"/>
      <c r="C93" s="5"/>
      <c r="D93" s="5"/>
      <c r="E93" s="30" t="s">
        <v>577</v>
      </c>
      <c r="F93" s="31" t="s">
        <v>578</v>
      </c>
      <c r="G93" s="1"/>
      <c r="H93" s="24">
        <v>1</v>
      </c>
      <c r="I93" s="5"/>
      <c r="J93" s="1"/>
      <c r="K93" s="5"/>
      <c r="L93" s="6"/>
      <c r="M93" s="5"/>
      <c r="N93" s="19">
        <v>3.15</v>
      </c>
      <c r="O93" s="8">
        <v>1</v>
      </c>
      <c r="P93" s="9">
        <v>44964</v>
      </c>
      <c r="Q93" s="8">
        <v>0</v>
      </c>
      <c r="R93" s="9">
        <v>44964</v>
      </c>
      <c r="S93" s="8">
        <v>0</v>
      </c>
      <c r="T93" s="9">
        <v>44964</v>
      </c>
      <c r="U93" s="8">
        <v>0</v>
      </c>
      <c r="V93" s="9">
        <v>44964</v>
      </c>
      <c r="W93" s="8">
        <v>0</v>
      </c>
      <c r="X93" s="9">
        <v>44964</v>
      </c>
      <c r="Y93" s="8">
        <v>0</v>
      </c>
      <c r="Z93" s="9">
        <v>44964</v>
      </c>
      <c r="AA93" s="8">
        <v>0</v>
      </c>
      <c r="AB93" s="9">
        <v>44964</v>
      </c>
      <c r="AC93" s="8">
        <v>0</v>
      </c>
      <c r="AD93" s="8">
        <v>0</v>
      </c>
      <c r="AE93" s="8">
        <v>0</v>
      </c>
      <c r="AF93" s="9">
        <v>44964</v>
      </c>
      <c r="AG93" s="10" t="s">
        <v>189</v>
      </c>
      <c r="AH93" s="9">
        <v>44964</v>
      </c>
      <c r="AI93" s="10" t="s">
        <v>189</v>
      </c>
      <c r="AJ93" s="9">
        <v>44964</v>
      </c>
      <c r="AK93" s="5"/>
    </row>
    <row r="94" spans="1:37" ht="27" customHeight="1">
      <c r="A94" s="1">
        <v>91</v>
      </c>
      <c r="B94" s="5"/>
      <c r="C94" s="5"/>
      <c r="D94" s="5"/>
      <c r="E94" s="30" t="s">
        <v>579</v>
      </c>
      <c r="F94" s="31" t="s">
        <v>580</v>
      </c>
      <c r="G94" s="1"/>
      <c r="H94" s="24">
        <v>1</v>
      </c>
      <c r="I94" s="5"/>
      <c r="J94" s="1"/>
      <c r="K94" s="5"/>
      <c r="L94" s="6"/>
      <c r="M94" s="5"/>
      <c r="N94" s="19">
        <v>3.15</v>
      </c>
      <c r="O94" s="8">
        <v>1</v>
      </c>
      <c r="P94" s="9">
        <v>44964</v>
      </c>
      <c r="Q94" s="8">
        <v>0</v>
      </c>
      <c r="R94" s="9">
        <v>44964</v>
      </c>
      <c r="S94" s="8">
        <v>0</v>
      </c>
      <c r="T94" s="9">
        <v>44964</v>
      </c>
      <c r="U94" s="8">
        <v>0</v>
      </c>
      <c r="V94" s="9">
        <v>44964</v>
      </c>
      <c r="W94" s="8">
        <v>0</v>
      </c>
      <c r="X94" s="9">
        <v>44964</v>
      </c>
      <c r="Y94" s="8">
        <v>0</v>
      </c>
      <c r="Z94" s="9">
        <v>44964</v>
      </c>
      <c r="AA94" s="8">
        <v>0</v>
      </c>
      <c r="AB94" s="9">
        <v>44964</v>
      </c>
      <c r="AC94" s="8">
        <v>0</v>
      </c>
      <c r="AD94" s="8">
        <v>0</v>
      </c>
      <c r="AE94" s="8">
        <v>0</v>
      </c>
      <c r="AF94" s="9">
        <v>44964</v>
      </c>
      <c r="AG94" s="10" t="s">
        <v>189</v>
      </c>
      <c r="AH94" s="9">
        <v>44964</v>
      </c>
      <c r="AI94" s="10" t="s">
        <v>189</v>
      </c>
      <c r="AJ94" s="9">
        <v>44964</v>
      </c>
      <c r="AK94" s="5"/>
    </row>
    <row r="95" spans="1:37" ht="27" customHeight="1">
      <c r="A95" s="1">
        <v>92</v>
      </c>
      <c r="B95" s="5"/>
      <c r="C95" s="5"/>
      <c r="D95" s="5"/>
      <c r="E95" s="30" t="s">
        <v>581</v>
      </c>
      <c r="F95" s="31" t="s">
        <v>582</v>
      </c>
      <c r="G95" s="1"/>
      <c r="H95" s="24">
        <v>1</v>
      </c>
      <c r="I95" s="5"/>
      <c r="J95" s="1"/>
      <c r="K95" s="5"/>
      <c r="L95" s="6"/>
      <c r="M95" s="5"/>
      <c r="N95" s="19">
        <v>3.15</v>
      </c>
      <c r="O95" s="8">
        <v>1</v>
      </c>
      <c r="P95" s="9">
        <v>44964</v>
      </c>
      <c r="Q95" s="8">
        <v>0</v>
      </c>
      <c r="R95" s="9">
        <v>44964</v>
      </c>
      <c r="S95" s="8">
        <v>0</v>
      </c>
      <c r="T95" s="9">
        <v>44964</v>
      </c>
      <c r="U95" s="8">
        <v>0</v>
      </c>
      <c r="V95" s="9">
        <v>44964</v>
      </c>
      <c r="W95" s="8">
        <v>0</v>
      </c>
      <c r="X95" s="9">
        <v>44964</v>
      </c>
      <c r="Y95" s="8">
        <v>0</v>
      </c>
      <c r="Z95" s="9">
        <v>44964</v>
      </c>
      <c r="AA95" s="8">
        <v>0</v>
      </c>
      <c r="AB95" s="9">
        <v>44964</v>
      </c>
      <c r="AC95" s="8">
        <v>0</v>
      </c>
      <c r="AD95" s="8">
        <v>0</v>
      </c>
      <c r="AE95" s="8">
        <v>0</v>
      </c>
      <c r="AF95" s="9">
        <v>44964</v>
      </c>
      <c r="AG95" s="10" t="s">
        <v>189</v>
      </c>
      <c r="AH95" s="9">
        <v>44964</v>
      </c>
      <c r="AI95" s="10" t="s">
        <v>189</v>
      </c>
      <c r="AJ95" s="9">
        <v>44964</v>
      </c>
      <c r="AK95" s="5"/>
    </row>
    <row r="96" spans="1:37" ht="27" customHeight="1">
      <c r="A96" s="1">
        <v>93</v>
      </c>
      <c r="B96" s="5"/>
      <c r="C96" s="5"/>
      <c r="D96" s="5"/>
      <c r="E96" s="30" t="s">
        <v>583</v>
      </c>
      <c r="F96" s="31" t="s">
        <v>584</v>
      </c>
      <c r="G96" s="1"/>
      <c r="H96" s="24">
        <v>1</v>
      </c>
      <c r="I96" s="5"/>
      <c r="J96" s="1"/>
      <c r="K96" s="5"/>
      <c r="L96" s="6"/>
      <c r="M96" s="5"/>
      <c r="N96" s="19">
        <v>3.15</v>
      </c>
      <c r="O96" s="8">
        <v>1</v>
      </c>
      <c r="P96" s="9">
        <v>44964</v>
      </c>
      <c r="Q96" s="8">
        <v>0</v>
      </c>
      <c r="R96" s="9">
        <v>44964</v>
      </c>
      <c r="S96" s="8">
        <v>0</v>
      </c>
      <c r="T96" s="9">
        <v>44964</v>
      </c>
      <c r="U96" s="8">
        <v>0</v>
      </c>
      <c r="V96" s="9">
        <v>44964</v>
      </c>
      <c r="W96" s="8">
        <v>0</v>
      </c>
      <c r="X96" s="9">
        <v>44964</v>
      </c>
      <c r="Y96" s="8">
        <v>0</v>
      </c>
      <c r="Z96" s="9">
        <v>44964</v>
      </c>
      <c r="AA96" s="8">
        <v>0</v>
      </c>
      <c r="AB96" s="9">
        <v>44964</v>
      </c>
      <c r="AC96" s="8">
        <v>0</v>
      </c>
      <c r="AD96" s="8">
        <v>0</v>
      </c>
      <c r="AE96" s="8">
        <v>0</v>
      </c>
      <c r="AF96" s="9">
        <v>44964</v>
      </c>
      <c r="AG96" s="10" t="s">
        <v>189</v>
      </c>
      <c r="AH96" s="9">
        <v>44964</v>
      </c>
      <c r="AI96" s="10" t="s">
        <v>189</v>
      </c>
      <c r="AJ96" s="9">
        <v>44964</v>
      </c>
      <c r="AK96" s="5"/>
    </row>
    <row r="97" spans="1:37" ht="27" customHeight="1">
      <c r="A97" s="1">
        <v>94</v>
      </c>
      <c r="B97" s="5"/>
      <c r="C97" s="5"/>
      <c r="D97" s="5"/>
      <c r="E97" s="30" t="s">
        <v>585</v>
      </c>
      <c r="F97" s="31" t="s">
        <v>586</v>
      </c>
      <c r="G97" s="1"/>
      <c r="H97" s="24">
        <v>1</v>
      </c>
      <c r="I97" s="5"/>
      <c r="J97" s="1"/>
      <c r="K97" s="5"/>
      <c r="L97" s="6"/>
      <c r="M97" s="5"/>
      <c r="N97" s="19">
        <v>3.15</v>
      </c>
      <c r="O97" s="8">
        <v>1</v>
      </c>
      <c r="P97" s="9">
        <v>44964</v>
      </c>
      <c r="Q97" s="8">
        <v>0</v>
      </c>
      <c r="R97" s="9">
        <v>44964</v>
      </c>
      <c r="S97" s="8">
        <v>0</v>
      </c>
      <c r="T97" s="9">
        <v>44964</v>
      </c>
      <c r="U97" s="8">
        <v>0</v>
      </c>
      <c r="V97" s="9">
        <v>44964</v>
      </c>
      <c r="W97" s="8">
        <v>0</v>
      </c>
      <c r="X97" s="9">
        <v>44964</v>
      </c>
      <c r="Y97" s="8">
        <v>0</v>
      </c>
      <c r="Z97" s="9">
        <v>44964</v>
      </c>
      <c r="AA97" s="8">
        <v>0</v>
      </c>
      <c r="AB97" s="9">
        <v>44964</v>
      </c>
      <c r="AC97" s="8">
        <v>0</v>
      </c>
      <c r="AD97" s="8">
        <v>0</v>
      </c>
      <c r="AE97" s="8">
        <v>0</v>
      </c>
      <c r="AF97" s="9">
        <v>44964</v>
      </c>
      <c r="AG97" s="10" t="s">
        <v>189</v>
      </c>
      <c r="AH97" s="9">
        <v>44964</v>
      </c>
      <c r="AI97" s="10" t="s">
        <v>189</v>
      </c>
      <c r="AJ97" s="9">
        <v>44964</v>
      </c>
      <c r="AK97" s="5"/>
    </row>
    <row r="98" spans="1:37" ht="27" customHeight="1">
      <c r="A98" s="1">
        <v>95</v>
      </c>
      <c r="B98" s="5"/>
      <c r="C98" s="5"/>
      <c r="D98" s="5"/>
      <c r="E98" s="30" t="s">
        <v>587</v>
      </c>
      <c r="F98" s="31" t="s">
        <v>588</v>
      </c>
      <c r="G98" s="1"/>
      <c r="H98" s="26">
        <v>1</v>
      </c>
      <c r="I98" s="5"/>
      <c r="J98" s="1"/>
      <c r="K98" s="5"/>
      <c r="L98" s="6"/>
      <c r="M98" s="5"/>
      <c r="N98" s="32">
        <v>3.14</v>
      </c>
      <c r="O98" s="8">
        <v>1</v>
      </c>
      <c r="P98" s="9">
        <v>44964</v>
      </c>
      <c r="Q98" s="8">
        <v>0</v>
      </c>
      <c r="R98" s="9">
        <v>44964</v>
      </c>
      <c r="S98" s="8">
        <v>0</v>
      </c>
      <c r="T98" s="9">
        <v>44964</v>
      </c>
      <c r="U98" s="8">
        <v>0</v>
      </c>
      <c r="V98" s="9">
        <v>44964</v>
      </c>
      <c r="W98" s="8">
        <v>0</v>
      </c>
      <c r="X98" s="9">
        <v>44964</v>
      </c>
      <c r="Y98" s="8">
        <v>0</v>
      </c>
      <c r="Z98" s="9">
        <v>44964</v>
      </c>
      <c r="AA98" s="8">
        <v>0</v>
      </c>
      <c r="AB98" s="9">
        <v>44964</v>
      </c>
      <c r="AC98" s="8">
        <v>0</v>
      </c>
      <c r="AD98" s="8">
        <v>0</v>
      </c>
      <c r="AE98" s="8">
        <v>0</v>
      </c>
      <c r="AF98" s="9">
        <v>44964</v>
      </c>
      <c r="AG98" s="10" t="s">
        <v>189</v>
      </c>
      <c r="AH98" s="9">
        <v>44964</v>
      </c>
      <c r="AI98" s="10" t="s">
        <v>189</v>
      </c>
      <c r="AJ98" s="9">
        <v>44964</v>
      </c>
      <c r="AK98" s="5"/>
    </row>
    <row r="99" spans="1:37" ht="27" hidden="1" customHeight="1">
      <c r="A99" s="1">
        <v>96</v>
      </c>
      <c r="B99" s="5"/>
      <c r="C99" s="5"/>
      <c r="D99" s="5"/>
      <c r="E99" s="30" t="s">
        <v>589</v>
      </c>
      <c r="F99" s="31" t="s">
        <v>590</v>
      </c>
      <c r="G99" s="1"/>
      <c r="H99" s="24">
        <v>1</v>
      </c>
      <c r="I99" s="5"/>
      <c r="J99" s="1"/>
      <c r="K99" s="5"/>
      <c r="L99" s="6"/>
      <c r="M99" s="5"/>
      <c r="N99" s="19">
        <v>3.18</v>
      </c>
      <c r="O99" s="19"/>
      <c r="P99" s="9">
        <v>44964</v>
      </c>
      <c r="Q99" s="8">
        <v>0</v>
      </c>
      <c r="R99" s="9">
        <v>44964</v>
      </c>
      <c r="S99" s="8">
        <v>0</v>
      </c>
      <c r="T99" s="9">
        <v>44964</v>
      </c>
      <c r="U99" s="8">
        <v>0</v>
      </c>
      <c r="V99" s="9">
        <v>44964</v>
      </c>
      <c r="W99" s="8">
        <v>0</v>
      </c>
      <c r="X99" s="9">
        <v>44964</v>
      </c>
      <c r="Y99" s="8">
        <v>0</v>
      </c>
      <c r="Z99" s="9">
        <v>44964</v>
      </c>
      <c r="AA99" s="8">
        <v>0</v>
      </c>
      <c r="AB99" s="9">
        <v>44964</v>
      </c>
      <c r="AC99" s="8">
        <v>0</v>
      </c>
      <c r="AD99" s="8">
        <v>0</v>
      </c>
      <c r="AE99" s="8">
        <v>0</v>
      </c>
      <c r="AF99" s="9">
        <v>44964</v>
      </c>
      <c r="AG99" s="10" t="s">
        <v>189</v>
      </c>
      <c r="AH99" s="9">
        <v>44964</v>
      </c>
      <c r="AI99" s="10" t="s">
        <v>189</v>
      </c>
      <c r="AJ99" s="9">
        <v>44964</v>
      </c>
      <c r="AK99" s="5"/>
    </row>
    <row r="100" spans="1:37" ht="27" customHeight="1">
      <c r="A100" s="1">
        <v>97</v>
      </c>
      <c r="B100" s="5"/>
      <c r="C100" s="5"/>
      <c r="D100" s="5"/>
      <c r="E100" s="30" t="s">
        <v>591</v>
      </c>
      <c r="F100" s="31" t="s">
        <v>592</v>
      </c>
      <c r="G100" s="1"/>
      <c r="H100" s="24">
        <v>1</v>
      </c>
      <c r="I100" s="5"/>
      <c r="J100" s="1"/>
      <c r="K100" s="5"/>
      <c r="L100" s="6"/>
      <c r="M100" s="5"/>
      <c r="N100" s="19" t="s">
        <v>593</v>
      </c>
      <c r="O100" s="8">
        <v>1</v>
      </c>
      <c r="P100" s="9">
        <v>44964</v>
      </c>
      <c r="Q100" s="8">
        <v>0</v>
      </c>
      <c r="R100" s="9">
        <v>44964</v>
      </c>
      <c r="S100" s="8">
        <v>0</v>
      </c>
      <c r="T100" s="9">
        <v>44964</v>
      </c>
      <c r="U100" s="8">
        <v>0</v>
      </c>
      <c r="V100" s="9">
        <v>44964</v>
      </c>
      <c r="W100" s="8">
        <v>0</v>
      </c>
      <c r="X100" s="9">
        <v>44964</v>
      </c>
      <c r="Y100" s="8">
        <v>0</v>
      </c>
      <c r="Z100" s="9">
        <v>44964</v>
      </c>
      <c r="AA100" s="8">
        <v>0</v>
      </c>
      <c r="AB100" s="9">
        <v>44964</v>
      </c>
      <c r="AC100" s="8">
        <v>0</v>
      </c>
      <c r="AD100" s="8">
        <v>0</v>
      </c>
      <c r="AE100" s="8">
        <v>0</v>
      </c>
      <c r="AF100" s="9">
        <v>44964</v>
      </c>
      <c r="AG100" s="10" t="s">
        <v>189</v>
      </c>
      <c r="AH100" s="9">
        <v>44964</v>
      </c>
      <c r="AI100" s="10" t="s">
        <v>189</v>
      </c>
      <c r="AJ100" s="9">
        <v>44964</v>
      </c>
      <c r="AK100" s="5"/>
    </row>
    <row r="101" spans="1:37" ht="27" customHeight="1">
      <c r="A101" s="1">
        <v>98</v>
      </c>
      <c r="B101" s="5"/>
      <c r="C101" s="5"/>
      <c r="D101" s="5"/>
      <c r="E101" s="30" t="s">
        <v>594</v>
      </c>
      <c r="F101" s="31" t="s">
        <v>595</v>
      </c>
      <c r="G101" s="1"/>
      <c r="H101" s="24">
        <v>1</v>
      </c>
      <c r="I101" s="5"/>
      <c r="J101" s="1"/>
      <c r="K101" s="5"/>
      <c r="L101" s="6"/>
      <c r="M101" s="5"/>
      <c r="N101" s="19">
        <v>3.15</v>
      </c>
      <c r="O101" s="8">
        <v>1</v>
      </c>
      <c r="P101" s="9">
        <v>44964</v>
      </c>
      <c r="Q101" s="8">
        <v>0</v>
      </c>
      <c r="R101" s="9">
        <v>44964</v>
      </c>
      <c r="S101" s="8">
        <v>0</v>
      </c>
      <c r="T101" s="9">
        <v>44964</v>
      </c>
      <c r="U101" s="8">
        <v>0</v>
      </c>
      <c r="V101" s="9">
        <v>44964</v>
      </c>
      <c r="W101" s="8">
        <v>0</v>
      </c>
      <c r="X101" s="9">
        <v>44964</v>
      </c>
      <c r="Y101" s="8">
        <v>0</v>
      </c>
      <c r="Z101" s="9">
        <v>44964</v>
      </c>
      <c r="AA101" s="8">
        <v>0</v>
      </c>
      <c r="AB101" s="9">
        <v>44964</v>
      </c>
      <c r="AC101" s="8">
        <v>0</v>
      </c>
      <c r="AD101" s="8">
        <v>0</v>
      </c>
      <c r="AE101" s="8">
        <v>0</v>
      </c>
      <c r="AF101" s="9">
        <v>44964</v>
      </c>
      <c r="AG101" s="10" t="s">
        <v>189</v>
      </c>
      <c r="AH101" s="9">
        <v>44964</v>
      </c>
      <c r="AI101" s="10" t="s">
        <v>189</v>
      </c>
      <c r="AJ101" s="9">
        <v>44964</v>
      </c>
      <c r="AK101" s="5"/>
    </row>
    <row r="102" spans="1:37" ht="27" customHeight="1">
      <c r="A102" s="1">
        <v>99</v>
      </c>
      <c r="B102" s="5"/>
      <c r="C102" s="5"/>
      <c r="D102" s="5"/>
      <c r="E102" s="30" t="s">
        <v>596</v>
      </c>
      <c r="F102" s="31" t="s">
        <v>597</v>
      </c>
      <c r="G102" s="1"/>
      <c r="H102" s="24">
        <v>1</v>
      </c>
      <c r="I102" s="5"/>
      <c r="J102" s="1"/>
      <c r="K102" s="5"/>
      <c r="L102" s="6"/>
      <c r="M102" s="5"/>
      <c r="N102" s="19">
        <v>3.13</v>
      </c>
      <c r="O102" s="8">
        <v>1</v>
      </c>
      <c r="P102" s="9">
        <v>44964</v>
      </c>
      <c r="Q102" s="8">
        <v>0</v>
      </c>
      <c r="R102" s="9">
        <v>44964</v>
      </c>
      <c r="S102" s="8">
        <v>0</v>
      </c>
      <c r="T102" s="9">
        <v>44964</v>
      </c>
      <c r="U102" s="8">
        <v>0</v>
      </c>
      <c r="V102" s="9">
        <v>44964</v>
      </c>
      <c r="W102" s="8">
        <v>0</v>
      </c>
      <c r="X102" s="9">
        <v>44964</v>
      </c>
      <c r="Y102" s="8">
        <v>0</v>
      </c>
      <c r="Z102" s="9">
        <v>44964</v>
      </c>
      <c r="AA102" s="8">
        <v>0</v>
      </c>
      <c r="AB102" s="9">
        <v>44964</v>
      </c>
      <c r="AC102" s="8">
        <v>0</v>
      </c>
      <c r="AD102" s="8">
        <v>0</v>
      </c>
      <c r="AE102" s="8">
        <v>0</v>
      </c>
      <c r="AF102" s="9">
        <v>44964</v>
      </c>
      <c r="AG102" s="10" t="s">
        <v>189</v>
      </c>
      <c r="AH102" s="9">
        <v>44964</v>
      </c>
      <c r="AI102" s="10" t="s">
        <v>189</v>
      </c>
      <c r="AJ102" s="9">
        <v>44964</v>
      </c>
      <c r="AK102" s="5"/>
    </row>
    <row r="103" spans="1:37" ht="27" customHeight="1">
      <c r="A103" s="1">
        <v>100</v>
      </c>
      <c r="B103" s="5"/>
      <c r="C103" s="5"/>
      <c r="D103" s="5"/>
      <c r="E103" s="30" t="s">
        <v>598</v>
      </c>
      <c r="F103" s="31" t="s">
        <v>599</v>
      </c>
      <c r="G103" s="1"/>
      <c r="H103" s="24">
        <v>1</v>
      </c>
      <c r="I103" s="5"/>
      <c r="J103" s="1"/>
      <c r="K103" s="5"/>
      <c r="L103" s="6"/>
      <c r="M103" s="5"/>
      <c r="N103" s="19">
        <v>3.14</v>
      </c>
      <c r="O103" s="8">
        <v>1</v>
      </c>
      <c r="P103" s="9">
        <v>44964</v>
      </c>
      <c r="Q103" s="8">
        <v>0</v>
      </c>
      <c r="R103" s="9">
        <v>44964</v>
      </c>
      <c r="S103" s="8">
        <v>0</v>
      </c>
      <c r="T103" s="9">
        <v>44964</v>
      </c>
      <c r="U103" s="8">
        <v>0</v>
      </c>
      <c r="V103" s="9">
        <v>44964</v>
      </c>
      <c r="W103" s="8">
        <v>0</v>
      </c>
      <c r="X103" s="9">
        <v>44964</v>
      </c>
      <c r="Y103" s="8">
        <v>0</v>
      </c>
      <c r="Z103" s="9">
        <v>44964</v>
      </c>
      <c r="AA103" s="8">
        <v>0</v>
      </c>
      <c r="AB103" s="9">
        <v>44964</v>
      </c>
      <c r="AC103" s="8">
        <v>0</v>
      </c>
      <c r="AD103" s="8">
        <v>0</v>
      </c>
      <c r="AE103" s="8">
        <v>0</v>
      </c>
      <c r="AF103" s="9">
        <v>44964</v>
      </c>
      <c r="AG103" s="10" t="s">
        <v>189</v>
      </c>
      <c r="AH103" s="9">
        <v>44964</v>
      </c>
      <c r="AI103" s="10" t="s">
        <v>189</v>
      </c>
      <c r="AJ103" s="9">
        <v>44964</v>
      </c>
      <c r="AK103" s="5"/>
    </row>
    <row r="104" spans="1:37" ht="27" customHeight="1">
      <c r="A104" s="1">
        <v>101</v>
      </c>
      <c r="B104" s="5"/>
      <c r="C104" s="5"/>
      <c r="D104" s="5"/>
      <c r="E104" s="30" t="s">
        <v>600</v>
      </c>
      <c r="F104" s="31" t="s">
        <v>601</v>
      </c>
      <c r="G104" s="1"/>
      <c r="H104" s="24">
        <v>1</v>
      </c>
      <c r="I104" s="5"/>
      <c r="J104" s="1"/>
      <c r="K104" s="5"/>
      <c r="L104" s="6"/>
      <c r="M104" s="5"/>
      <c r="N104" s="19" t="s">
        <v>593</v>
      </c>
      <c r="O104" s="8">
        <v>1</v>
      </c>
      <c r="P104" s="9">
        <v>44964</v>
      </c>
      <c r="Q104" s="8">
        <v>0</v>
      </c>
      <c r="R104" s="9">
        <v>44964</v>
      </c>
      <c r="S104" s="8">
        <v>0</v>
      </c>
      <c r="T104" s="9">
        <v>44964</v>
      </c>
      <c r="U104" s="8">
        <v>0</v>
      </c>
      <c r="V104" s="9">
        <v>44964</v>
      </c>
      <c r="W104" s="8">
        <v>0</v>
      </c>
      <c r="X104" s="9">
        <v>44964</v>
      </c>
      <c r="Y104" s="8">
        <v>0</v>
      </c>
      <c r="Z104" s="9">
        <v>44964</v>
      </c>
      <c r="AA104" s="8">
        <v>0</v>
      </c>
      <c r="AB104" s="9">
        <v>44964</v>
      </c>
      <c r="AC104" s="8">
        <v>0</v>
      </c>
      <c r="AD104" s="8">
        <v>0</v>
      </c>
      <c r="AE104" s="8">
        <v>0</v>
      </c>
      <c r="AF104" s="9">
        <v>44964</v>
      </c>
      <c r="AG104" s="10" t="s">
        <v>189</v>
      </c>
      <c r="AH104" s="9">
        <v>44964</v>
      </c>
      <c r="AI104" s="10" t="s">
        <v>189</v>
      </c>
      <c r="AJ104" s="9">
        <v>44964</v>
      </c>
      <c r="AK104" s="5"/>
    </row>
    <row r="105" spans="1:37" ht="27" customHeight="1">
      <c r="A105" s="1">
        <v>102</v>
      </c>
      <c r="B105" s="5"/>
      <c r="C105" s="5"/>
      <c r="D105" s="5"/>
      <c r="E105" s="30" t="s">
        <v>602</v>
      </c>
      <c r="F105" s="31" t="s">
        <v>603</v>
      </c>
      <c r="G105" s="1"/>
      <c r="H105" s="24">
        <v>1</v>
      </c>
      <c r="I105" s="5"/>
      <c r="J105" s="1"/>
      <c r="K105" s="5"/>
      <c r="L105" s="6"/>
      <c r="M105" s="5"/>
      <c r="N105" s="19" t="s">
        <v>593</v>
      </c>
      <c r="O105" s="8">
        <v>1</v>
      </c>
      <c r="P105" s="9">
        <v>44964</v>
      </c>
      <c r="Q105" s="8">
        <v>0</v>
      </c>
      <c r="R105" s="9">
        <v>44964</v>
      </c>
      <c r="S105" s="8">
        <v>0</v>
      </c>
      <c r="T105" s="9">
        <v>44964</v>
      </c>
      <c r="U105" s="8">
        <v>0</v>
      </c>
      <c r="V105" s="9">
        <v>44964</v>
      </c>
      <c r="W105" s="8">
        <v>0</v>
      </c>
      <c r="X105" s="9">
        <v>44964</v>
      </c>
      <c r="Y105" s="8">
        <v>0</v>
      </c>
      <c r="Z105" s="9">
        <v>44964</v>
      </c>
      <c r="AA105" s="8">
        <v>0</v>
      </c>
      <c r="AB105" s="9">
        <v>44964</v>
      </c>
      <c r="AC105" s="8">
        <v>0</v>
      </c>
      <c r="AD105" s="8">
        <v>0</v>
      </c>
      <c r="AE105" s="8">
        <v>0</v>
      </c>
      <c r="AF105" s="9">
        <v>44964</v>
      </c>
      <c r="AG105" s="10" t="s">
        <v>189</v>
      </c>
      <c r="AH105" s="9">
        <v>44964</v>
      </c>
      <c r="AI105" s="10" t="s">
        <v>189</v>
      </c>
      <c r="AJ105" s="9">
        <v>44964</v>
      </c>
      <c r="AK105" s="5"/>
    </row>
    <row r="106" spans="1:37" ht="27" customHeight="1">
      <c r="A106" s="1">
        <v>103</v>
      </c>
      <c r="B106" s="5"/>
      <c r="C106" s="5"/>
      <c r="D106" s="5"/>
      <c r="E106" s="30" t="s">
        <v>604</v>
      </c>
      <c r="F106" s="31" t="s">
        <v>605</v>
      </c>
      <c r="G106" s="1"/>
      <c r="H106" s="24">
        <v>1</v>
      </c>
      <c r="I106" s="5"/>
      <c r="J106" s="1"/>
      <c r="K106" s="5"/>
      <c r="L106" s="6"/>
      <c r="M106" s="5"/>
      <c r="N106" s="19" t="s">
        <v>593</v>
      </c>
      <c r="O106" s="8">
        <v>1</v>
      </c>
      <c r="P106" s="9">
        <v>44964</v>
      </c>
      <c r="Q106" s="8">
        <v>0</v>
      </c>
      <c r="R106" s="9">
        <v>44964</v>
      </c>
      <c r="S106" s="8">
        <v>0</v>
      </c>
      <c r="T106" s="9">
        <v>44964</v>
      </c>
      <c r="U106" s="8">
        <v>0</v>
      </c>
      <c r="V106" s="9">
        <v>44964</v>
      </c>
      <c r="W106" s="8">
        <v>0</v>
      </c>
      <c r="X106" s="9">
        <v>44964</v>
      </c>
      <c r="Y106" s="8">
        <v>0</v>
      </c>
      <c r="Z106" s="9">
        <v>44964</v>
      </c>
      <c r="AA106" s="8">
        <v>0</v>
      </c>
      <c r="AB106" s="9">
        <v>44964</v>
      </c>
      <c r="AC106" s="8">
        <v>0</v>
      </c>
      <c r="AD106" s="8">
        <v>0</v>
      </c>
      <c r="AE106" s="8">
        <v>0</v>
      </c>
      <c r="AF106" s="9">
        <v>44964</v>
      </c>
      <c r="AG106" s="10" t="s">
        <v>189</v>
      </c>
      <c r="AH106" s="9">
        <v>44964</v>
      </c>
      <c r="AI106" s="10" t="s">
        <v>189</v>
      </c>
      <c r="AJ106" s="9">
        <v>44964</v>
      </c>
      <c r="AK106" s="5"/>
    </row>
    <row r="107" spans="1:37" ht="27" customHeight="1">
      <c r="A107" s="1">
        <v>104</v>
      </c>
      <c r="B107" s="5"/>
      <c r="C107" s="5"/>
      <c r="D107" s="5"/>
      <c r="E107" s="30" t="s">
        <v>606</v>
      </c>
      <c r="F107" s="31" t="s">
        <v>607</v>
      </c>
      <c r="G107" s="1"/>
      <c r="H107" s="24">
        <v>1</v>
      </c>
      <c r="I107" s="5"/>
      <c r="J107" s="1"/>
      <c r="K107" s="5"/>
      <c r="L107" s="6"/>
      <c r="M107" s="5"/>
      <c r="N107" s="19">
        <v>3.13</v>
      </c>
      <c r="O107" s="8">
        <v>1</v>
      </c>
      <c r="P107" s="9">
        <v>44964</v>
      </c>
      <c r="Q107" s="8">
        <v>0</v>
      </c>
      <c r="R107" s="9">
        <v>44964</v>
      </c>
      <c r="S107" s="8">
        <v>0</v>
      </c>
      <c r="T107" s="9">
        <v>44964</v>
      </c>
      <c r="U107" s="8">
        <v>0</v>
      </c>
      <c r="V107" s="9">
        <v>44964</v>
      </c>
      <c r="W107" s="8">
        <v>0</v>
      </c>
      <c r="X107" s="9">
        <v>44964</v>
      </c>
      <c r="Y107" s="8">
        <v>0</v>
      </c>
      <c r="Z107" s="9">
        <v>44964</v>
      </c>
      <c r="AA107" s="8">
        <v>0</v>
      </c>
      <c r="AB107" s="9">
        <v>44964</v>
      </c>
      <c r="AC107" s="8">
        <v>0</v>
      </c>
      <c r="AD107" s="8">
        <v>0</v>
      </c>
      <c r="AE107" s="8">
        <v>0</v>
      </c>
      <c r="AF107" s="9">
        <v>44964</v>
      </c>
      <c r="AG107" s="10" t="s">
        <v>189</v>
      </c>
      <c r="AH107" s="9">
        <v>44964</v>
      </c>
      <c r="AI107" s="10" t="s">
        <v>189</v>
      </c>
      <c r="AJ107" s="9">
        <v>44964</v>
      </c>
      <c r="AK107" s="5"/>
    </row>
    <row r="108" spans="1:37" ht="27" hidden="1" customHeight="1">
      <c r="A108" s="1">
        <v>105</v>
      </c>
      <c r="B108" s="5"/>
      <c r="C108" s="5"/>
      <c r="D108" s="5"/>
      <c r="E108" s="30" t="s">
        <v>608</v>
      </c>
      <c r="F108" s="31" t="s">
        <v>609</v>
      </c>
      <c r="G108" s="1"/>
      <c r="H108" s="24">
        <v>1</v>
      </c>
      <c r="I108" s="5"/>
      <c r="J108" s="1"/>
      <c r="K108" s="5"/>
      <c r="L108" s="6"/>
      <c r="M108" s="5"/>
      <c r="N108" s="19">
        <v>3.18</v>
      </c>
      <c r="O108" s="19"/>
      <c r="P108" s="9">
        <v>44964</v>
      </c>
      <c r="Q108" s="8">
        <v>0</v>
      </c>
      <c r="R108" s="9">
        <v>44964</v>
      </c>
      <c r="S108" s="8">
        <v>0</v>
      </c>
      <c r="T108" s="9">
        <v>44964</v>
      </c>
      <c r="U108" s="8">
        <v>0</v>
      </c>
      <c r="V108" s="9">
        <v>44964</v>
      </c>
      <c r="W108" s="8">
        <v>0</v>
      </c>
      <c r="X108" s="9">
        <v>44964</v>
      </c>
      <c r="Y108" s="8">
        <v>0</v>
      </c>
      <c r="Z108" s="9">
        <v>44964</v>
      </c>
      <c r="AA108" s="8">
        <v>0</v>
      </c>
      <c r="AB108" s="9">
        <v>44964</v>
      </c>
      <c r="AC108" s="8">
        <v>0</v>
      </c>
      <c r="AD108" s="8">
        <v>0</v>
      </c>
      <c r="AE108" s="8">
        <v>0</v>
      </c>
      <c r="AF108" s="9">
        <v>44964</v>
      </c>
      <c r="AG108" s="10" t="s">
        <v>189</v>
      </c>
      <c r="AH108" s="9">
        <v>44964</v>
      </c>
      <c r="AI108" s="10" t="s">
        <v>189</v>
      </c>
      <c r="AJ108" s="9">
        <v>44964</v>
      </c>
      <c r="AK108" s="5"/>
    </row>
    <row r="109" spans="1:37" ht="27" customHeight="1">
      <c r="A109" s="1">
        <v>106</v>
      </c>
      <c r="B109" s="5"/>
      <c r="C109" s="5"/>
      <c r="D109" s="5"/>
      <c r="E109" s="30" t="s">
        <v>610</v>
      </c>
      <c r="F109" s="31" t="s">
        <v>611</v>
      </c>
      <c r="G109" s="1"/>
      <c r="H109" s="24">
        <v>1</v>
      </c>
      <c r="I109" s="5"/>
      <c r="J109" s="1"/>
      <c r="K109" s="5"/>
      <c r="L109" s="6"/>
      <c r="M109" s="5"/>
      <c r="N109" s="19" t="s">
        <v>593</v>
      </c>
      <c r="O109" s="8">
        <v>1</v>
      </c>
      <c r="P109" s="9">
        <v>44964</v>
      </c>
      <c r="Q109" s="8">
        <v>0</v>
      </c>
      <c r="R109" s="9">
        <v>44964</v>
      </c>
      <c r="S109" s="8">
        <v>0</v>
      </c>
      <c r="T109" s="9">
        <v>44964</v>
      </c>
      <c r="U109" s="8">
        <v>0</v>
      </c>
      <c r="V109" s="9">
        <v>44964</v>
      </c>
      <c r="W109" s="8">
        <v>0</v>
      </c>
      <c r="X109" s="9">
        <v>44964</v>
      </c>
      <c r="Y109" s="8">
        <v>0</v>
      </c>
      <c r="Z109" s="9">
        <v>44964</v>
      </c>
      <c r="AA109" s="8">
        <v>0</v>
      </c>
      <c r="AB109" s="9">
        <v>44964</v>
      </c>
      <c r="AC109" s="8">
        <v>0</v>
      </c>
      <c r="AD109" s="8">
        <v>0</v>
      </c>
      <c r="AE109" s="8">
        <v>0</v>
      </c>
      <c r="AF109" s="9">
        <v>44964</v>
      </c>
      <c r="AG109" s="10" t="s">
        <v>189</v>
      </c>
      <c r="AH109" s="9">
        <v>44964</v>
      </c>
      <c r="AI109" s="10" t="s">
        <v>189</v>
      </c>
      <c r="AJ109" s="9">
        <v>44964</v>
      </c>
      <c r="AK109" s="5"/>
    </row>
    <row r="110" spans="1:37" ht="27" customHeight="1">
      <c r="A110" s="1">
        <v>107</v>
      </c>
      <c r="B110" s="5"/>
      <c r="C110" s="5"/>
      <c r="D110" s="5"/>
      <c r="E110" s="30" t="s">
        <v>612</v>
      </c>
      <c r="F110" s="31" t="s">
        <v>613</v>
      </c>
      <c r="G110" s="1"/>
      <c r="H110" s="24">
        <v>1</v>
      </c>
      <c r="I110" s="5"/>
      <c r="J110" s="1"/>
      <c r="K110" s="5"/>
      <c r="L110" s="6"/>
      <c r="M110" s="5"/>
      <c r="N110" s="19" t="s">
        <v>614</v>
      </c>
      <c r="O110" s="8">
        <v>1</v>
      </c>
      <c r="P110" s="9">
        <v>44964</v>
      </c>
      <c r="Q110" s="8">
        <v>0</v>
      </c>
      <c r="R110" s="9">
        <v>44964</v>
      </c>
      <c r="S110" s="8">
        <v>0</v>
      </c>
      <c r="T110" s="9">
        <v>44964</v>
      </c>
      <c r="U110" s="8">
        <v>0</v>
      </c>
      <c r="V110" s="9">
        <v>44964</v>
      </c>
      <c r="W110" s="8">
        <v>0</v>
      </c>
      <c r="X110" s="9">
        <v>44964</v>
      </c>
      <c r="Y110" s="8">
        <v>0</v>
      </c>
      <c r="Z110" s="9">
        <v>44964</v>
      </c>
      <c r="AA110" s="8">
        <v>0</v>
      </c>
      <c r="AB110" s="9">
        <v>44964</v>
      </c>
      <c r="AC110" s="8">
        <v>0</v>
      </c>
      <c r="AD110" s="8">
        <v>0</v>
      </c>
      <c r="AE110" s="8">
        <v>0</v>
      </c>
      <c r="AF110" s="9">
        <v>44964</v>
      </c>
      <c r="AG110" s="10" t="s">
        <v>189</v>
      </c>
      <c r="AH110" s="9">
        <v>44964</v>
      </c>
      <c r="AI110" s="10" t="s">
        <v>189</v>
      </c>
      <c r="AJ110" s="9">
        <v>44964</v>
      </c>
      <c r="AK110" s="5"/>
    </row>
    <row r="111" spans="1:37" ht="27" customHeight="1">
      <c r="A111" s="1">
        <v>108</v>
      </c>
      <c r="B111" s="5"/>
      <c r="C111" s="5"/>
      <c r="D111" s="5"/>
      <c r="E111" s="30" t="s">
        <v>615</v>
      </c>
      <c r="F111" s="31" t="s">
        <v>616</v>
      </c>
      <c r="G111" s="1"/>
      <c r="H111" s="24">
        <v>1</v>
      </c>
      <c r="I111" s="5"/>
      <c r="J111" s="1"/>
      <c r="K111" s="5"/>
      <c r="L111" s="6"/>
      <c r="M111" s="5"/>
      <c r="N111" s="19" t="s">
        <v>614</v>
      </c>
      <c r="O111" s="8">
        <v>1</v>
      </c>
      <c r="P111" s="9">
        <v>44964</v>
      </c>
      <c r="Q111" s="8">
        <v>0</v>
      </c>
      <c r="R111" s="9">
        <v>44964</v>
      </c>
      <c r="S111" s="8">
        <v>0</v>
      </c>
      <c r="T111" s="9">
        <v>44964</v>
      </c>
      <c r="U111" s="8">
        <v>0</v>
      </c>
      <c r="V111" s="9">
        <v>44964</v>
      </c>
      <c r="W111" s="8">
        <v>0</v>
      </c>
      <c r="X111" s="9">
        <v>44964</v>
      </c>
      <c r="Y111" s="8">
        <v>0</v>
      </c>
      <c r="Z111" s="9">
        <v>44964</v>
      </c>
      <c r="AA111" s="8">
        <v>0</v>
      </c>
      <c r="AB111" s="9">
        <v>44964</v>
      </c>
      <c r="AC111" s="8">
        <v>0</v>
      </c>
      <c r="AD111" s="8">
        <v>0</v>
      </c>
      <c r="AE111" s="8">
        <v>0</v>
      </c>
      <c r="AF111" s="9">
        <v>44964</v>
      </c>
      <c r="AG111" s="10" t="s">
        <v>189</v>
      </c>
      <c r="AH111" s="9">
        <v>44964</v>
      </c>
      <c r="AI111" s="10" t="s">
        <v>189</v>
      </c>
      <c r="AJ111" s="9">
        <v>44964</v>
      </c>
      <c r="AK111" s="5"/>
    </row>
    <row r="112" spans="1:37" ht="27" customHeight="1">
      <c r="A112" s="1">
        <v>109</v>
      </c>
      <c r="B112" s="5"/>
      <c r="C112" s="5"/>
      <c r="D112" s="5"/>
      <c r="E112" s="30" t="s">
        <v>617</v>
      </c>
      <c r="F112" s="31" t="s">
        <v>618</v>
      </c>
      <c r="G112" s="1"/>
      <c r="H112" s="24">
        <v>1</v>
      </c>
      <c r="I112" s="5"/>
      <c r="J112" s="1"/>
      <c r="K112" s="5"/>
      <c r="L112" s="6"/>
      <c r="M112" s="5"/>
      <c r="N112" s="19" t="s">
        <v>614</v>
      </c>
      <c r="O112" s="8">
        <v>1</v>
      </c>
      <c r="P112" s="9">
        <v>44964</v>
      </c>
      <c r="Q112" s="8">
        <v>0</v>
      </c>
      <c r="R112" s="9">
        <v>44964</v>
      </c>
      <c r="S112" s="8">
        <v>0</v>
      </c>
      <c r="T112" s="9">
        <v>44964</v>
      </c>
      <c r="U112" s="8">
        <v>0</v>
      </c>
      <c r="V112" s="9">
        <v>44964</v>
      </c>
      <c r="W112" s="8">
        <v>0</v>
      </c>
      <c r="X112" s="9">
        <v>44964</v>
      </c>
      <c r="Y112" s="8">
        <v>0</v>
      </c>
      <c r="Z112" s="9">
        <v>44964</v>
      </c>
      <c r="AA112" s="8">
        <v>0</v>
      </c>
      <c r="AB112" s="9">
        <v>44964</v>
      </c>
      <c r="AC112" s="8">
        <v>0</v>
      </c>
      <c r="AD112" s="8">
        <v>0</v>
      </c>
      <c r="AE112" s="8">
        <v>0</v>
      </c>
      <c r="AF112" s="9">
        <v>44964</v>
      </c>
      <c r="AG112" s="10" t="s">
        <v>189</v>
      </c>
      <c r="AH112" s="9">
        <v>44964</v>
      </c>
      <c r="AI112" s="10" t="s">
        <v>189</v>
      </c>
      <c r="AJ112" s="9">
        <v>44964</v>
      </c>
      <c r="AK112" s="5"/>
    </row>
    <row r="113" spans="1:37" ht="27" customHeight="1">
      <c r="A113" s="1">
        <v>110</v>
      </c>
      <c r="B113" s="5"/>
      <c r="C113" s="5"/>
      <c r="D113" s="5"/>
      <c r="E113" s="30" t="s">
        <v>619</v>
      </c>
      <c r="F113" s="31" t="s">
        <v>620</v>
      </c>
      <c r="G113" s="1"/>
      <c r="H113" s="24">
        <v>1</v>
      </c>
      <c r="I113" s="5"/>
      <c r="J113" s="1"/>
      <c r="K113" s="5"/>
      <c r="L113" s="6"/>
      <c r="M113" s="5"/>
      <c r="N113" s="19" t="s">
        <v>614</v>
      </c>
      <c r="O113" s="8">
        <v>1</v>
      </c>
      <c r="P113" s="9">
        <v>44964</v>
      </c>
      <c r="Q113" s="8">
        <v>0</v>
      </c>
      <c r="R113" s="9">
        <v>44964</v>
      </c>
      <c r="S113" s="8">
        <v>0</v>
      </c>
      <c r="T113" s="9">
        <v>44964</v>
      </c>
      <c r="U113" s="8">
        <v>0</v>
      </c>
      <c r="V113" s="9">
        <v>44964</v>
      </c>
      <c r="W113" s="8">
        <v>0</v>
      </c>
      <c r="X113" s="9">
        <v>44964</v>
      </c>
      <c r="Y113" s="8">
        <v>0</v>
      </c>
      <c r="Z113" s="9">
        <v>44964</v>
      </c>
      <c r="AA113" s="8">
        <v>0</v>
      </c>
      <c r="AB113" s="9">
        <v>44964</v>
      </c>
      <c r="AC113" s="8">
        <v>0</v>
      </c>
      <c r="AD113" s="8">
        <v>0</v>
      </c>
      <c r="AE113" s="8">
        <v>0</v>
      </c>
      <c r="AF113" s="9">
        <v>44964</v>
      </c>
      <c r="AG113" s="10" t="s">
        <v>189</v>
      </c>
      <c r="AH113" s="9">
        <v>44964</v>
      </c>
      <c r="AI113" s="10" t="s">
        <v>189</v>
      </c>
      <c r="AJ113" s="9">
        <v>44964</v>
      </c>
      <c r="AK113" s="5"/>
    </row>
    <row r="114" spans="1:37" ht="27" customHeight="1">
      <c r="A114" s="1">
        <v>111</v>
      </c>
      <c r="B114" s="5"/>
      <c r="C114" s="5"/>
      <c r="D114" s="5"/>
      <c r="E114" s="30" t="s">
        <v>621</v>
      </c>
      <c r="F114" s="31" t="s">
        <v>622</v>
      </c>
      <c r="G114" s="1"/>
      <c r="H114" s="26">
        <v>1</v>
      </c>
      <c r="I114" s="5"/>
      <c r="J114" s="1"/>
      <c r="K114" s="5"/>
      <c r="L114" s="6"/>
      <c r="M114" s="5"/>
      <c r="N114" s="32">
        <v>3.14</v>
      </c>
      <c r="O114" s="8">
        <v>1</v>
      </c>
      <c r="P114" s="9">
        <v>44964</v>
      </c>
      <c r="Q114" s="8">
        <v>0</v>
      </c>
      <c r="R114" s="9">
        <v>44964</v>
      </c>
      <c r="S114" s="8">
        <v>0</v>
      </c>
      <c r="T114" s="9">
        <v>44964</v>
      </c>
      <c r="U114" s="8">
        <v>0</v>
      </c>
      <c r="V114" s="9">
        <v>44964</v>
      </c>
      <c r="W114" s="8">
        <v>0</v>
      </c>
      <c r="X114" s="9">
        <v>44964</v>
      </c>
      <c r="Y114" s="8">
        <v>0</v>
      </c>
      <c r="Z114" s="9">
        <v>44964</v>
      </c>
      <c r="AA114" s="8">
        <v>0</v>
      </c>
      <c r="AB114" s="9">
        <v>44964</v>
      </c>
      <c r="AC114" s="8">
        <v>0</v>
      </c>
      <c r="AD114" s="8">
        <v>0</v>
      </c>
      <c r="AE114" s="8">
        <v>0</v>
      </c>
      <c r="AF114" s="9">
        <v>44964</v>
      </c>
      <c r="AG114" s="10" t="s">
        <v>189</v>
      </c>
      <c r="AH114" s="9">
        <v>44964</v>
      </c>
      <c r="AI114" s="10" t="s">
        <v>189</v>
      </c>
      <c r="AJ114" s="9">
        <v>44964</v>
      </c>
      <c r="AK114" s="5"/>
    </row>
    <row r="115" spans="1:37" ht="27" customHeight="1">
      <c r="A115" s="1">
        <v>112</v>
      </c>
      <c r="B115" s="5"/>
      <c r="C115" s="5"/>
      <c r="D115" s="5"/>
      <c r="E115" s="30" t="s">
        <v>623</v>
      </c>
      <c r="F115" s="31" t="s">
        <v>624</v>
      </c>
      <c r="G115" s="1"/>
      <c r="H115" s="24">
        <v>1</v>
      </c>
      <c r="I115" s="5"/>
      <c r="J115" s="1"/>
      <c r="K115" s="5"/>
      <c r="L115" s="6"/>
      <c r="M115" s="5"/>
      <c r="N115" s="19">
        <v>3.13</v>
      </c>
      <c r="O115" s="8">
        <v>1</v>
      </c>
      <c r="P115" s="9">
        <v>44964</v>
      </c>
      <c r="Q115" s="8">
        <v>0</v>
      </c>
      <c r="R115" s="9">
        <v>44964</v>
      </c>
      <c r="S115" s="8">
        <v>0</v>
      </c>
      <c r="T115" s="9">
        <v>44964</v>
      </c>
      <c r="U115" s="8">
        <v>0</v>
      </c>
      <c r="V115" s="9">
        <v>44964</v>
      </c>
      <c r="W115" s="8">
        <v>0</v>
      </c>
      <c r="X115" s="9">
        <v>44964</v>
      </c>
      <c r="Y115" s="8">
        <v>0</v>
      </c>
      <c r="Z115" s="9">
        <v>44964</v>
      </c>
      <c r="AA115" s="8">
        <v>0</v>
      </c>
      <c r="AB115" s="9">
        <v>44964</v>
      </c>
      <c r="AC115" s="8">
        <v>0</v>
      </c>
      <c r="AD115" s="8">
        <v>0</v>
      </c>
      <c r="AE115" s="8">
        <v>0</v>
      </c>
      <c r="AF115" s="9">
        <v>44964</v>
      </c>
      <c r="AG115" s="10" t="s">
        <v>189</v>
      </c>
      <c r="AH115" s="9">
        <v>44964</v>
      </c>
      <c r="AI115" s="10" t="s">
        <v>189</v>
      </c>
      <c r="AJ115" s="9">
        <v>44964</v>
      </c>
      <c r="AK115" s="5"/>
    </row>
    <row r="116" spans="1:37" ht="27" hidden="1" customHeight="1">
      <c r="A116" s="1">
        <v>113</v>
      </c>
      <c r="B116" s="5"/>
      <c r="C116" s="5"/>
      <c r="D116" s="5"/>
      <c r="E116" s="30" t="s">
        <v>625</v>
      </c>
      <c r="F116" s="31" t="s">
        <v>626</v>
      </c>
      <c r="G116" s="1"/>
      <c r="H116" s="24">
        <v>1</v>
      </c>
      <c r="I116" s="5"/>
      <c r="J116" s="1"/>
      <c r="K116" s="5"/>
      <c r="L116" s="6"/>
      <c r="M116" s="5"/>
      <c r="N116" s="19">
        <v>3.18</v>
      </c>
      <c r="O116" s="19"/>
      <c r="P116" s="9">
        <v>44964</v>
      </c>
      <c r="Q116" s="8">
        <v>0</v>
      </c>
      <c r="R116" s="9">
        <v>44964</v>
      </c>
      <c r="S116" s="8">
        <v>0</v>
      </c>
      <c r="T116" s="9">
        <v>44964</v>
      </c>
      <c r="U116" s="8">
        <v>0</v>
      </c>
      <c r="V116" s="9">
        <v>44964</v>
      </c>
      <c r="W116" s="8">
        <v>0</v>
      </c>
      <c r="X116" s="9">
        <v>44964</v>
      </c>
      <c r="Y116" s="8">
        <v>0</v>
      </c>
      <c r="Z116" s="9">
        <v>44964</v>
      </c>
      <c r="AA116" s="8">
        <v>0</v>
      </c>
      <c r="AB116" s="9">
        <v>44964</v>
      </c>
      <c r="AC116" s="8">
        <v>0</v>
      </c>
      <c r="AD116" s="8">
        <v>0</v>
      </c>
      <c r="AE116" s="8">
        <v>0</v>
      </c>
      <c r="AF116" s="9">
        <v>44964</v>
      </c>
      <c r="AG116" s="10" t="s">
        <v>189</v>
      </c>
      <c r="AH116" s="9">
        <v>44964</v>
      </c>
      <c r="AI116" s="10" t="s">
        <v>189</v>
      </c>
      <c r="AJ116" s="9">
        <v>44964</v>
      </c>
      <c r="AK116" s="5"/>
    </row>
    <row r="117" spans="1:37" ht="27" customHeight="1">
      <c r="A117" s="1">
        <v>114</v>
      </c>
      <c r="B117" s="5"/>
      <c r="C117" s="5"/>
      <c r="D117" s="5"/>
      <c r="E117" s="30" t="s">
        <v>627</v>
      </c>
      <c r="F117" s="31" t="s">
        <v>628</v>
      </c>
      <c r="G117" s="1"/>
      <c r="H117" s="24">
        <v>1</v>
      </c>
      <c r="I117" s="5"/>
      <c r="J117" s="1"/>
      <c r="K117" s="5"/>
      <c r="L117" s="6"/>
      <c r="M117" s="5"/>
      <c r="N117" s="19">
        <v>3.15</v>
      </c>
      <c r="O117" s="8">
        <v>1</v>
      </c>
      <c r="P117" s="9">
        <v>44964</v>
      </c>
      <c r="Q117" s="8">
        <v>0</v>
      </c>
      <c r="R117" s="9">
        <v>44964</v>
      </c>
      <c r="S117" s="8">
        <v>0</v>
      </c>
      <c r="T117" s="9">
        <v>44964</v>
      </c>
      <c r="U117" s="8">
        <v>0</v>
      </c>
      <c r="V117" s="9">
        <v>44964</v>
      </c>
      <c r="W117" s="8">
        <v>0</v>
      </c>
      <c r="X117" s="9">
        <v>44964</v>
      </c>
      <c r="Y117" s="8">
        <v>0</v>
      </c>
      <c r="Z117" s="9">
        <v>44964</v>
      </c>
      <c r="AA117" s="8">
        <v>0</v>
      </c>
      <c r="AB117" s="9">
        <v>44964</v>
      </c>
      <c r="AC117" s="8">
        <v>0</v>
      </c>
      <c r="AD117" s="8">
        <v>0</v>
      </c>
      <c r="AE117" s="8">
        <v>0</v>
      </c>
      <c r="AF117" s="9">
        <v>44964</v>
      </c>
      <c r="AG117" s="10" t="s">
        <v>189</v>
      </c>
      <c r="AH117" s="9">
        <v>44964</v>
      </c>
      <c r="AI117" s="10" t="s">
        <v>189</v>
      </c>
      <c r="AJ117" s="9">
        <v>44964</v>
      </c>
      <c r="AK117" s="5"/>
    </row>
    <row r="118" spans="1:37" ht="27" customHeight="1">
      <c r="A118" s="1">
        <v>115</v>
      </c>
      <c r="B118" s="5"/>
      <c r="C118" s="5"/>
      <c r="D118" s="5"/>
      <c r="E118" s="30" t="s">
        <v>629</v>
      </c>
      <c r="F118" s="31" t="s">
        <v>630</v>
      </c>
      <c r="G118" s="1"/>
      <c r="H118" s="24">
        <v>1</v>
      </c>
      <c r="I118" s="5"/>
      <c r="J118" s="1"/>
      <c r="K118" s="5"/>
      <c r="L118" s="6"/>
      <c r="M118" s="5"/>
      <c r="N118" s="19">
        <v>3.14</v>
      </c>
      <c r="O118" s="8">
        <v>1</v>
      </c>
      <c r="P118" s="9">
        <v>44964</v>
      </c>
      <c r="Q118" s="8">
        <v>0</v>
      </c>
      <c r="R118" s="9">
        <v>44964</v>
      </c>
      <c r="S118" s="8">
        <v>0</v>
      </c>
      <c r="T118" s="9">
        <v>44964</v>
      </c>
      <c r="U118" s="8">
        <v>0</v>
      </c>
      <c r="V118" s="9">
        <v>44964</v>
      </c>
      <c r="W118" s="8">
        <v>0</v>
      </c>
      <c r="X118" s="9">
        <v>44964</v>
      </c>
      <c r="Y118" s="8">
        <v>0</v>
      </c>
      <c r="Z118" s="9">
        <v>44964</v>
      </c>
      <c r="AA118" s="8">
        <v>0</v>
      </c>
      <c r="AB118" s="9">
        <v>44964</v>
      </c>
      <c r="AC118" s="8">
        <v>0</v>
      </c>
      <c r="AD118" s="8">
        <v>0</v>
      </c>
      <c r="AE118" s="8">
        <v>0</v>
      </c>
      <c r="AF118" s="9">
        <v>44964</v>
      </c>
      <c r="AG118" s="10" t="s">
        <v>189</v>
      </c>
      <c r="AH118" s="9">
        <v>44964</v>
      </c>
      <c r="AI118" s="10" t="s">
        <v>189</v>
      </c>
      <c r="AJ118" s="9">
        <v>44964</v>
      </c>
      <c r="AK118" s="5"/>
    </row>
    <row r="119" spans="1:37" ht="27" customHeight="1">
      <c r="A119" s="1">
        <v>116</v>
      </c>
      <c r="B119" s="5"/>
      <c r="C119" s="5"/>
      <c r="D119" s="5"/>
      <c r="E119" s="30" t="s">
        <v>631</v>
      </c>
      <c r="F119" s="31" t="s">
        <v>632</v>
      </c>
      <c r="G119" s="1"/>
      <c r="H119" s="24">
        <v>1</v>
      </c>
      <c r="I119" s="5"/>
      <c r="J119" s="1"/>
      <c r="K119" s="5"/>
      <c r="L119" s="6"/>
      <c r="M119" s="5"/>
      <c r="N119" s="19">
        <v>3.14</v>
      </c>
      <c r="O119" s="8">
        <v>1</v>
      </c>
      <c r="P119" s="9">
        <v>44964</v>
      </c>
      <c r="Q119" s="8">
        <v>0</v>
      </c>
      <c r="R119" s="9">
        <v>44964</v>
      </c>
      <c r="S119" s="8">
        <v>0</v>
      </c>
      <c r="T119" s="9">
        <v>44964</v>
      </c>
      <c r="U119" s="8">
        <v>0</v>
      </c>
      <c r="V119" s="9">
        <v>44964</v>
      </c>
      <c r="W119" s="8">
        <v>0</v>
      </c>
      <c r="X119" s="9">
        <v>44964</v>
      </c>
      <c r="Y119" s="8">
        <v>0</v>
      </c>
      <c r="Z119" s="9">
        <v>44964</v>
      </c>
      <c r="AA119" s="8">
        <v>0</v>
      </c>
      <c r="AB119" s="9">
        <v>44964</v>
      </c>
      <c r="AC119" s="8">
        <v>0</v>
      </c>
      <c r="AD119" s="8">
        <v>0</v>
      </c>
      <c r="AE119" s="8">
        <v>0</v>
      </c>
      <c r="AF119" s="9">
        <v>44964</v>
      </c>
      <c r="AG119" s="10" t="s">
        <v>189</v>
      </c>
      <c r="AH119" s="9">
        <v>44964</v>
      </c>
      <c r="AI119" s="10" t="s">
        <v>189</v>
      </c>
      <c r="AJ119" s="9">
        <v>44964</v>
      </c>
      <c r="AK119" s="5"/>
    </row>
    <row r="120" spans="1:37" ht="27" customHeight="1">
      <c r="A120" s="1">
        <v>117</v>
      </c>
      <c r="B120" s="5"/>
      <c r="C120" s="5"/>
      <c r="D120" s="5"/>
      <c r="E120" s="30" t="s">
        <v>633</v>
      </c>
      <c r="F120" s="31" t="s">
        <v>634</v>
      </c>
      <c r="G120" s="1"/>
      <c r="H120" s="24">
        <v>1</v>
      </c>
      <c r="I120" s="5"/>
      <c r="J120" s="1"/>
      <c r="K120" s="5"/>
      <c r="L120" s="6"/>
      <c r="M120" s="5"/>
      <c r="N120" s="19">
        <v>3.15</v>
      </c>
      <c r="O120" s="8">
        <v>1</v>
      </c>
      <c r="P120" s="9">
        <v>44964</v>
      </c>
      <c r="Q120" s="8">
        <v>0</v>
      </c>
      <c r="R120" s="9">
        <v>44964</v>
      </c>
      <c r="S120" s="8">
        <v>0</v>
      </c>
      <c r="T120" s="9">
        <v>44964</v>
      </c>
      <c r="U120" s="8">
        <v>0</v>
      </c>
      <c r="V120" s="9">
        <v>44964</v>
      </c>
      <c r="W120" s="8">
        <v>0</v>
      </c>
      <c r="X120" s="9">
        <v>44964</v>
      </c>
      <c r="Y120" s="8">
        <v>0</v>
      </c>
      <c r="Z120" s="9">
        <v>44964</v>
      </c>
      <c r="AA120" s="8">
        <v>0</v>
      </c>
      <c r="AB120" s="9">
        <v>44964</v>
      </c>
      <c r="AC120" s="8">
        <v>0</v>
      </c>
      <c r="AD120" s="8">
        <v>0</v>
      </c>
      <c r="AE120" s="8">
        <v>0</v>
      </c>
      <c r="AF120" s="9">
        <v>44964</v>
      </c>
      <c r="AG120" s="10" t="s">
        <v>189</v>
      </c>
      <c r="AH120" s="9">
        <v>44964</v>
      </c>
      <c r="AI120" s="10" t="s">
        <v>189</v>
      </c>
      <c r="AJ120" s="9">
        <v>44964</v>
      </c>
      <c r="AK120" s="5"/>
    </row>
    <row r="121" spans="1:37" ht="27" hidden="1" customHeight="1">
      <c r="A121" s="1">
        <v>118</v>
      </c>
      <c r="B121" s="5"/>
      <c r="C121" s="5"/>
      <c r="D121" s="5"/>
      <c r="E121" s="30" t="s">
        <v>635</v>
      </c>
      <c r="F121" s="31" t="s">
        <v>636</v>
      </c>
      <c r="G121" s="1"/>
      <c r="H121" s="24">
        <v>1</v>
      </c>
      <c r="I121" s="5"/>
      <c r="J121" s="1"/>
      <c r="K121" s="5"/>
      <c r="L121" s="6"/>
      <c r="M121" s="5"/>
      <c r="N121" s="19">
        <v>3.18</v>
      </c>
      <c r="O121" s="19"/>
      <c r="P121" s="9">
        <v>44964</v>
      </c>
      <c r="Q121" s="8">
        <v>0</v>
      </c>
      <c r="R121" s="9">
        <v>44964</v>
      </c>
      <c r="S121" s="8">
        <v>0</v>
      </c>
      <c r="T121" s="9">
        <v>44964</v>
      </c>
      <c r="U121" s="8">
        <v>0</v>
      </c>
      <c r="V121" s="9">
        <v>44964</v>
      </c>
      <c r="W121" s="8">
        <v>0</v>
      </c>
      <c r="X121" s="9">
        <v>44964</v>
      </c>
      <c r="Y121" s="8">
        <v>0</v>
      </c>
      <c r="Z121" s="9">
        <v>44964</v>
      </c>
      <c r="AA121" s="8">
        <v>0</v>
      </c>
      <c r="AB121" s="9">
        <v>44964</v>
      </c>
      <c r="AC121" s="8">
        <v>0</v>
      </c>
      <c r="AD121" s="8">
        <v>0</v>
      </c>
      <c r="AE121" s="8">
        <v>0</v>
      </c>
      <c r="AF121" s="9">
        <v>44964</v>
      </c>
      <c r="AG121" s="10" t="s">
        <v>189</v>
      </c>
      <c r="AH121" s="9">
        <v>44964</v>
      </c>
      <c r="AI121" s="10" t="s">
        <v>189</v>
      </c>
      <c r="AJ121" s="9">
        <v>44964</v>
      </c>
      <c r="AK121" s="5"/>
    </row>
    <row r="122" spans="1:37" ht="27" customHeight="1">
      <c r="A122" s="1">
        <v>119</v>
      </c>
      <c r="B122" s="5"/>
      <c r="C122" s="5"/>
      <c r="D122" s="5"/>
      <c r="E122" s="30" t="s">
        <v>637</v>
      </c>
      <c r="F122" s="31" t="s">
        <v>638</v>
      </c>
      <c r="G122" s="1"/>
      <c r="H122" s="24">
        <v>1</v>
      </c>
      <c r="I122" s="5"/>
      <c r="J122" s="1"/>
      <c r="K122" s="5"/>
      <c r="L122" s="6"/>
      <c r="M122" s="5"/>
      <c r="N122" s="19" t="s">
        <v>593</v>
      </c>
      <c r="O122" s="8">
        <v>1</v>
      </c>
      <c r="P122" s="9">
        <v>44964</v>
      </c>
      <c r="Q122" s="8">
        <v>0</v>
      </c>
      <c r="R122" s="9">
        <v>44964</v>
      </c>
      <c r="S122" s="8">
        <v>0</v>
      </c>
      <c r="T122" s="9">
        <v>44964</v>
      </c>
      <c r="U122" s="8">
        <v>0</v>
      </c>
      <c r="V122" s="9">
        <v>44964</v>
      </c>
      <c r="W122" s="8">
        <v>0</v>
      </c>
      <c r="X122" s="9">
        <v>44964</v>
      </c>
      <c r="Y122" s="8">
        <v>0</v>
      </c>
      <c r="Z122" s="9">
        <v>44964</v>
      </c>
      <c r="AA122" s="8">
        <v>0</v>
      </c>
      <c r="AB122" s="9">
        <v>44964</v>
      </c>
      <c r="AC122" s="8">
        <v>0</v>
      </c>
      <c r="AD122" s="8">
        <v>0</v>
      </c>
      <c r="AE122" s="8">
        <v>0</v>
      </c>
      <c r="AF122" s="9">
        <v>44964</v>
      </c>
      <c r="AG122" s="10" t="s">
        <v>189</v>
      </c>
      <c r="AH122" s="9">
        <v>44964</v>
      </c>
      <c r="AI122" s="10" t="s">
        <v>189</v>
      </c>
      <c r="AJ122" s="9">
        <v>44964</v>
      </c>
      <c r="AK122" s="5"/>
    </row>
    <row r="123" spans="1:37" ht="27" hidden="1" customHeight="1">
      <c r="A123" s="1">
        <v>120</v>
      </c>
      <c r="B123" s="5"/>
      <c r="C123" s="5"/>
      <c r="D123" s="5"/>
      <c r="E123" s="30" t="s">
        <v>639</v>
      </c>
      <c r="F123" s="31" t="s">
        <v>640</v>
      </c>
      <c r="G123" s="1"/>
      <c r="H123" s="24">
        <v>1</v>
      </c>
      <c r="I123" s="5"/>
      <c r="J123" s="1"/>
      <c r="K123" s="5"/>
      <c r="L123" s="6"/>
      <c r="M123" s="5"/>
      <c r="N123" s="19">
        <v>3.18</v>
      </c>
      <c r="O123" s="19"/>
      <c r="P123" s="9">
        <v>44964</v>
      </c>
      <c r="Q123" s="8">
        <v>0</v>
      </c>
      <c r="R123" s="9">
        <v>44964</v>
      </c>
      <c r="S123" s="8">
        <v>0</v>
      </c>
      <c r="T123" s="9">
        <v>44964</v>
      </c>
      <c r="U123" s="8">
        <v>0</v>
      </c>
      <c r="V123" s="9">
        <v>44964</v>
      </c>
      <c r="W123" s="8">
        <v>0</v>
      </c>
      <c r="X123" s="9">
        <v>44964</v>
      </c>
      <c r="Y123" s="8">
        <v>0</v>
      </c>
      <c r="Z123" s="9">
        <v>44964</v>
      </c>
      <c r="AA123" s="8">
        <v>0</v>
      </c>
      <c r="AB123" s="9">
        <v>44964</v>
      </c>
      <c r="AC123" s="8">
        <v>0</v>
      </c>
      <c r="AD123" s="8">
        <v>0</v>
      </c>
      <c r="AE123" s="8">
        <v>0</v>
      </c>
      <c r="AF123" s="9">
        <v>44964</v>
      </c>
      <c r="AG123" s="10" t="s">
        <v>189</v>
      </c>
      <c r="AH123" s="9">
        <v>44964</v>
      </c>
      <c r="AI123" s="10" t="s">
        <v>189</v>
      </c>
      <c r="AJ123" s="9">
        <v>44964</v>
      </c>
      <c r="AK123" s="5"/>
    </row>
    <row r="124" spans="1:37" ht="27" customHeight="1">
      <c r="A124" s="1">
        <v>121</v>
      </c>
      <c r="B124" s="5"/>
      <c r="C124" s="5"/>
      <c r="D124" s="5"/>
      <c r="E124" s="30" t="s">
        <v>641</v>
      </c>
      <c r="F124" s="31" t="s">
        <v>642</v>
      </c>
      <c r="G124" s="1"/>
      <c r="H124" s="24">
        <v>1</v>
      </c>
      <c r="I124" s="5"/>
      <c r="J124" s="1"/>
      <c r="K124" s="5"/>
      <c r="L124" s="6"/>
      <c r="M124" s="5"/>
      <c r="N124" s="19" t="s">
        <v>614</v>
      </c>
      <c r="O124" s="8">
        <v>1</v>
      </c>
      <c r="P124" s="9">
        <v>44964</v>
      </c>
      <c r="Q124" s="8">
        <v>0</v>
      </c>
      <c r="R124" s="9">
        <v>44964</v>
      </c>
      <c r="S124" s="8">
        <v>0</v>
      </c>
      <c r="T124" s="9">
        <v>44964</v>
      </c>
      <c r="U124" s="8">
        <v>0</v>
      </c>
      <c r="V124" s="9">
        <v>44964</v>
      </c>
      <c r="W124" s="8">
        <v>0</v>
      </c>
      <c r="X124" s="9">
        <v>44964</v>
      </c>
      <c r="Y124" s="8">
        <v>0</v>
      </c>
      <c r="Z124" s="9">
        <v>44964</v>
      </c>
      <c r="AA124" s="8">
        <v>0</v>
      </c>
      <c r="AB124" s="9">
        <v>44964</v>
      </c>
      <c r="AC124" s="8">
        <v>0</v>
      </c>
      <c r="AD124" s="8">
        <v>0</v>
      </c>
      <c r="AE124" s="8">
        <v>0</v>
      </c>
      <c r="AF124" s="9">
        <v>44964</v>
      </c>
      <c r="AG124" s="10" t="s">
        <v>189</v>
      </c>
      <c r="AH124" s="9">
        <v>44964</v>
      </c>
      <c r="AI124" s="10" t="s">
        <v>189</v>
      </c>
      <c r="AJ124" s="9">
        <v>44964</v>
      </c>
      <c r="AK124" s="5"/>
    </row>
    <row r="125" spans="1:37" ht="27" customHeight="1">
      <c r="A125" s="1">
        <v>122</v>
      </c>
      <c r="B125" s="5"/>
      <c r="C125" s="5"/>
      <c r="D125" s="5"/>
      <c r="E125" s="30" t="s">
        <v>643</v>
      </c>
      <c r="F125" s="31" t="s">
        <v>644</v>
      </c>
      <c r="G125" s="1"/>
      <c r="H125" s="24">
        <v>1</v>
      </c>
      <c r="I125" s="5"/>
      <c r="J125" s="1"/>
      <c r="K125" s="5"/>
      <c r="L125" s="6"/>
      <c r="M125" s="5"/>
      <c r="N125" s="19">
        <v>3.15</v>
      </c>
      <c r="O125" s="8">
        <v>1</v>
      </c>
      <c r="P125" s="9">
        <v>44964</v>
      </c>
      <c r="Q125" s="8">
        <v>0</v>
      </c>
      <c r="R125" s="9">
        <v>44964</v>
      </c>
      <c r="S125" s="8">
        <v>0</v>
      </c>
      <c r="T125" s="9">
        <v>44964</v>
      </c>
      <c r="U125" s="8">
        <v>0</v>
      </c>
      <c r="V125" s="9">
        <v>44964</v>
      </c>
      <c r="W125" s="8">
        <v>0</v>
      </c>
      <c r="X125" s="9">
        <v>44964</v>
      </c>
      <c r="Y125" s="8">
        <v>0</v>
      </c>
      <c r="Z125" s="9">
        <v>44964</v>
      </c>
      <c r="AA125" s="8">
        <v>0</v>
      </c>
      <c r="AB125" s="9">
        <v>44964</v>
      </c>
      <c r="AC125" s="8">
        <v>0</v>
      </c>
      <c r="AD125" s="8">
        <v>0</v>
      </c>
      <c r="AE125" s="8">
        <v>0</v>
      </c>
      <c r="AF125" s="9">
        <v>44964</v>
      </c>
      <c r="AG125" s="10" t="s">
        <v>189</v>
      </c>
      <c r="AH125" s="9">
        <v>44964</v>
      </c>
      <c r="AI125" s="10" t="s">
        <v>189</v>
      </c>
      <c r="AJ125" s="9">
        <v>44964</v>
      </c>
      <c r="AK125" s="5"/>
    </row>
    <row r="126" spans="1:37" ht="27" customHeight="1">
      <c r="A126" s="1">
        <v>123</v>
      </c>
      <c r="B126" s="5"/>
      <c r="C126" s="5"/>
      <c r="D126" s="5"/>
      <c r="E126" s="30" t="s">
        <v>645</v>
      </c>
      <c r="F126" s="31" t="s">
        <v>646</v>
      </c>
      <c r="G126" s="1"/>
      <c r="H126" s="24">
        <v>1</v>
      </c>
      <c r="I126" s="5"/>
      <c r="J126" s="1"/>
      <c r="K126" s="5"/>
      <c r="L126" s="6"/>
      <c r="M126" s="5"/>
      <c r="N126" s="19">
        <v>3.13</v>
      </c>
      <c r="O126" s="8">
        <v>1</v>
      </c>
      <c r="P126" s="9">
        <v>44964</v>
      </c>
      <c r="Q126" s="8">
        <v>0</v>
      </c>
      <c r="R126" s="9">
        <v>44964</v>
      </c>
      <c r="S126" s="8">
        <v>0</v>
      </c>
      <c r="T126" s="9">
        <v>44964</v>
      </c>
      <c r="U126" s="8">
        <v>0</v>
      </c>
      <c r="V126" s="9">
        <v>44964</v>
      </c>
      <c r="W126" s="8">
        <v>0</v>
      </c>
      <c r="X126" s="9">
        <v>44964</v>
      </c>
      <c r="Y126" s="8">
        <v>0</v>
      </c>
      <c r="Z126" s="9">
        <v>44964</v>
      </c>
      <c r="AA126" s="8">
        <v>0</v>
      </c>
      <c r="AB126" s="9">
        <v>44964</v>
      </c>
      <c r="AC126" s="8">
        <v>0</v>
      </c>
      <c r="AD126" s="8">
        <v>0</v>
      </c>
      <c r="AE126" s="8">
        <v>0</v>
      </c>
      <c r="AF126" s="9">
        <v>44964</v>
      </c>
      <c r="AG126" s="10" t="s">
        <v>189</v>
      </c>
      <c r="AH126" s="9">
        <v>44964</v>
      </c>
      <c r="AI126" s="10" t="s">
        <v>189</v>
      </c>
      <c r="AJ126" s="9">
        <v>44964</v>
      </c>
      <c r="AK126" s="5"/>
    </row>
    <row r="127" spans="1:37" ht="27" customHeight="1">
      <c r="A127" s="1">
        <v>124</v>
      </c>
      <c r="B127" s="5"/>
      <c r="C127" s="5"/>
      <c r="D127" s="5"/>
      <c r="E127" s="30" t="s">
        <v>647</v>
      </c>
      <c r="F127" s="31" t="s">
        <v>648</v>
      </c>
      <c r="G127" s="1"/>
      <c r="H127" s="24">
        <v>1</v>
      </c>
      <c r="I127" s="5"/>
      <c r="J127" s="1"/>
      <c r="K127" s="5"/>
      <c r="L127" s="6"/>
      <c r="M127" s="5"/>
      <c r="N127" s="19" t="s">
        <v>593</v>
      </c>
      <c r="O127" s="8">
        <v>1</v>
      </c>
      <c r="P127" s="9">
        <v>44964</v>
      </c>
      <c r="Q127" s="8">
        <v>0</v>
      </c>
      <c r="R127" s="9">
        <v>44964</v>
      </c>
      <c r="S127" s="8">
        <v>0</v>
      </c>
      <c r="T127" s="9">
        <v>44964</v>
      </c>
      <c r="U127" s="8">
        <v>0</v>
      </c>
      <c r="V127" s="9">
        <v>44964</v>
      </c>
      <c r="W127" s="8">
        <v>0</v>
      </c>
      <c r="X127" s="9">
        <v>44964</v>
      </c>
      <c r="Y127" s="8">
        <v>0</v>
      </c>
      <c r="Z127" s="9">
        <v>44964</v>
      </c>
      <c r="AA127" s="8">
        <v>0</v>
      </c>
      <c r="AB127" s="9">
        <v>44964</v>
      </c>
      <c r="AC127" s="8">
        <v>0</v>
      </c>
      <c r="AD127" s="8">
        <v>0</v>
      </c>
      <c r="AE127" s="8">
        <v>0</v>
      </c>
      <c r="AF127" s="9">
        <v>44964</v>
      </c>
      <c r="AG127" s="10" t="s">
        <v>189</v>
      </c>
      <c r="AH127" s="9">
        <v>44964</v>
      </c>
      <c r="AI127" s="10" t="s">
        <v>189</v>
      </c>
      <c r="AJ127" s="9">
        <v>44964</v>
      </c>
      <c r="AK127" s="5"/>
    </row>
    <row r="128" spans="1:37" ht="27" hidden="1" customHeight="1">
      <c r="A128" s="5"/>
      <c r="B128" s="5"/>
      <c r="C128" s="5"/>
      <c r="D128" s="5"/>
      <c r="E128" s="13"/>
      <c r="F128" s="14"/>
      <c r="G128" s="1"/>
      <c r="H128" s="14"/>
      <c r="I128" s="5"/>
      <c r="J128" s="1"/>
      <c r="K128" s="5"/>
      <c r="L128" s="6"/>
      <c r="M128" s="5"/>
      <c r="N128" s="15"/>
      <c r="O128" s="8"/>
      <c r="P128" s="9"/>
      <c r="Q128" s="8"/>
      <c r="R128" s="9"/>
      <c r="S128" s="8"/>
      <c r="T128" s="9"/>
      <c r="U128" s="8"/>
      <c r="V128" s="9"/>
      <c r="W128" s="8"/>
      <c r="X128" s="9"/>
      <c r="Y128" s="8"/>
      <c r="Z128" s="9"/>
      <c r="AA128" s="8"/>
      <c r="AB128" s="9"/>
      <c r="AC128" s="8"/>
      <c r="AD128" s="8"/>
      <c r="AE128" s="8"/>
      <c r="AF128" s="9"/>
      <c r="AG128" s="10"/>
      <c r="AH128" s="9"/>
      <c r="AI128" s="10"/>
      <c r="AJ128" s="9"/>
      <c r="AK128" s="5"/>
    </row>
    <row r="129" spans="1:37" ht="27" hidden="1" customHeight="1">
      <c r="A129" s="5"/>
      <c r="B129" s="5"/>
      <c r="C129" s="5"/>
      <c r="D129" s="5"/>
      <c r="E129" s="13"/>
      <c r="F129" s="14"/>
      <c r="G129" s="1"/>
      <c r="H129" s="14"/>
      <c r="I129" s="5"/>
      <c r="J129" s="1"/>
      <c r="K129" s="5"/>
      <c r="L129" s="6"/>
      <c r="M129" s="5"/>
      <c r="N129" s="15"/>
      <c r="O129" s="8"/>
      <c r="P129" s="9"/>
      <c r="Q129" s="8"/>
      <c r="R129" s="9"/>
      <c r="S129" s="8"/>
      <c r="T129" s="9"/>
      <c r="U129" s="8"/>
      <c r="V129" s="9"/>
      <c r="W129" s="8"/>
      <c r="X129" s="9"/>
      <c r="Y129" s="8"/>
      <c r="Z129" s="9"/>
      <c r="AA129" s="8"/>
      <c r="AB129" s="9"/>
      <c r="AC129" s="8"/>
      <c r="AD129" s="8"/>
      <c r="AE129" s="8"/>
      <c r="AF129" s="9"/>
      <c r="AG129" s="10"/>
      <c r="AH129" s="9"/>
      <c r="AI129" s="10"/>
      <c r="AJ129" s="9"/>
      <c r="AK129" s="5"/>
    </row>
    <row r="130" spans="1:37" ht="27" hidden="1" customHeight="1">
      <c r="A130" s="5"/>
      <c r="B130" s="5"/>
      <c r="C130" s="5"/>
      <c r="D130" s="5"/>
      <c r="E130" s="13"/>
      <c r="F130" s="14"/>
      <c r="G130" s="1"/>
      <c r="H130" s="14"/>
      <c r="I130" s="5"/>
      <c r="J130" s="1"/>
      <c r="K130" s="5"/>
      <c r="L130" s="6"/>
      <c r="M130" s="5"/>
      <c r="N130" s="15"/>
      <c r="O130" s="8"/>
      <c r="P130" s="9"/>
      <c r="Q130" s="8"/>
      <c r="R130" s="9"/>
      <c r="S130" s="8"/>
      <c r="T130" s="9"/>
      <c r="U130" s="8"/>
      <c r="V130" s="9"/>
      <c r="W130" s="8"/>
      <c r="X130" s="9"/>
      <c r="Y130" s="8"/>
      <c r="Z130" s="9"/>
      <c r="AA130" s="8"/>
      <c r="AB130" s="9"/>
      <c r="AC130" s="8"/>
      <c r="AD130" s="8"/>
      <c r="AE130" s="8"/>
      <c r="AF130" s="9"/>
      <c r="AG130" s="10"/>
      <c r="AH130" s="9"/>
      <c r="AI130" s="10"/>
      <c r="AJ130" s="9"/>
      <c r="AK130" s="5"/>
    </row>
    <row r="131" spans="1:37" ht="27" hidden="1" customHeight="1">
      <c r="A131" s="5"/>
      <c r="B131" s="5"/>
      <c r="C131" s="5"/>
      <c r="D131" s="5"/>
      <c r="E131" s="13"/>
      <c r="F131" s="14"/>
      <c r="G131" s="1"/>
      <c r="H131" s="14"/>
      <c r="I131" s="5"/>
      <c r="J131" s="1"/>
      <c r="K131" s="5"/>
      <c r="L131" s="6"/>
      <c r="M131" s="5"/>
      <c r="N131" s="15"/>
      <c r="O131" s="8"/>
      <c r="P131" s="9"/>
      <c r="Q131" s="8"/>
      <c r="R131" s="9"/>
      <c r="S131" s="8"/>
      <c r="T131" s="9"/>
      <c r="U131" s="8"/>
      <c r="V131" s="9"/>
      <c r="W131" s="8"/>
      <c r="X131" s="9"/>
      <c r="Y131" s="8"/>
      <c r="Z131" s="9"/>
      <c r="AA131" s="8"/>
      <c r="AB131" s="9"/>
      <c r="AC131" s="8"/>
      <c r="AD131" s="8"/>
      <c r="AE131" s="8"/>
      <c r="AF131" s="9"/>
      <c r="AG131" s="10"/>
      <c r="AH131" s="9"/>
      <c r="AI131" s="10"/>
      <c r="AJ131" s="9"/>
      <c r="AK131" s="5"/>
    </row>
    <row r="132" spans="1:37" ht="27" hidden="1" customHeight="1">
      <c r="A132" s="5"/>
      <c r="B132" s="5"/>
      <c r="C132" s="5"/>
      <c r="D132" s="5"/>
      <c r="E132" s="13"/>
      <c r="F132" s="14"/>
      <c r="G132" s="1"/>
      <c r="H132" s="14"/>
      <c r="I132" s="5"/>
      <c r="J132" s="1"/>
      <c r="K132" s="5"/>
      <c r="L132" s="6"/>
      <c r="M132" s="5"/>
      <c r="N132" s="15"/>
      <c r="O132" s="8"/>
      <c r="P132" s="9"/>
      <c r="Q132" s="8"/>
      <c r="R132" s="9"/>
      <c r="S132" s="8"/>
      <c r="T132" s="9"/>
      <c r="U132" s="8"/>
      <c r="V132" s="9"/>
      <c r="W132" s="8"/>
      <c r="X132" s="9"/>
      <c r="Y132" s="8"/>
      <c r="Z132" s="9"/>
      <c r="AA132" s="8"/>
      <c r="AB132" s="9"/>
      <c r="AC132" s="8"/>
      <c r="AD132" s="8"/>
      <c r="AE132" s="8"/>
      <c r="AF132" s="9"/>
      <c r="AG132" s="10"/>
      <c r="AH132" s="9"/>
      <c r="AI132" s="10"/>
      <c r="AJ132" s="9"/>
      <c r="AK132" s="5"/>
    </row>
    <row r="133" spans="1:37" ht="27" hidden="1" customHeight="1">
      <c r="A133" s="5"/>
      <c r="B133" s="5"/>
      <c r="C133" s="5"/>
      <c r="D133" s="5"/>
      <c r="E133" s="13"/>
      <c r="F133" s="14"/>
      <c r="G133" s="1"/>
      <c r="H133" s="14"/>
      <c r="I133" s="5"/>
      <c r="J133" s="1"/>
      <c r="K133" s="5"/>
      <c r="L133" s="6"/>
      <c r="M133" s="5"/>
      <c r="N133" s="15"/>
      <c r="O133" s="8"/>
      <c r="P133" s="9"/>
      <c r="Q133" s="8"/>
      <c r="R133" s="9"/>
      <c r="S133" s="8"/>
      <c r="T133" s="9"/>
      <c r="U133" s="8"/>
      <c r="V133" s="9"/>
      <c r="W133" s="8"/>
      <c r="X133" s="9"/>
      <c r="Y133" s="8"/>
      <c r="Z133" s="9"/>
      <c r="AA133" s="8"/>
      <c r="AB133" s="9"/>
      <c r="AC133" s="8"/>
      <c r="AD133" s="8"/>
      <c r="AE133" s="8"/>
      <c r="AF133" s="9"/>
      <c r="AG133" s="10"/>
      <c r="AH133" s="9"/>
      <c r="AI133" s="10"/>
      <c r="AJ133" s="9"/>
      <c r="AK133" s="5"/>
    </row>
    <row r="134" spans="1:37" ht="27" hidden="1" customHeight="1">
      <c r="A134" s="5"/>
      <c r="B134" s="5"/>
      <c r="C134" s="5"/>
      <c r="D134" s="5"/>
      <c r="E134" s="13"/>
      <c r="F134" s="14"/>
      <c r="G134" s="1"/>
      <c r="H134" s="14"/>
      <c r="I134" s="5"/>
      <c r="J134" s="1"/>
      <c r="K134" s="5"/>
      <c r="L134" s="6"/>
      <c r="M134" s="5"/>
      <c r="N134" s="15"/>
      <c r="O134" s="8"/>
      <c r="P134" s="9"/>
      <c r="Q134" s="8"/>
      <c r="R134" s="9"/>
      <c r="S134" s="8"/>
      <c r="T134" s="9"/>
      <c r="U134" s="8"/>
      <c r="V134" s="9"/>
      <c r="W134" s="8"/>
      <c r="X134" s="9"/>
      <c r="Y134" s="8"/>
      <c r="Z134" s="9"/>
      <c r="AA134" s="8"/>
      <c r="AB134" s="9"/>
      <c r="AC134" s="8"/>
      <c r="AD134" s="8"/>
      <c r="AE134" s="8"/>
      <c r="AF134" s="9"/>
      <c r="AG134" s="10"/>
      <c r="AH134" s="9"/>
      <c r="AI134" s="10"/>
      <c r="AJ134" s="9"/>
      <c r="AK134" s="5"/>
    </row>
    <row r="135" spans="1:37" ht="27" hidden="1" customHeight="1">
      <c r="A135" s="5"/>
      <c r="B135" s="5"/>
      <c r="C135" s="5"/>
      <c r="D135" s="5"/>
      <c r="E135" s="13"/>
      <c r="F135" s="14"/>
      <c r="G135" s="1"/>
      <c r="H135" s="14"/>
      <c r="I135" s="5"/>
      <c r="J135" s="1"/>
      <c r="K135" s="5"/>
      <c r="L135" s="6"/>
      <c r="M135" s="5"/>
      <c r="N135" s="15"/>
      <c r="O135" s="8"/>
      <c r="P135" s="9"/>
      <c r="Q135" s="8"/>
      <c r="R135" s="9"/>
      <c r="S135" s="8"/>
      <c r="T135" s="9"/>
      <c r="U135" s="8"/>
      <c r="V135" s="9"/>
      <c r="W135" s="8"/>
      <c r="X135" s="9"/>
      <c r="Y135" s="8"/>
      <c r="Z135" s="9"/>
      <c r="AA135" s="8"/>
      <c r="AB135" s="9"/>
      <c r="AC135" s="8"/>
      <c r="AD135" s="8"/>
      <c r="AE135" s="8"/>
      <c r="AF135" s="9"/>
      <c r="AG135" s="10"/>
      <c r="AH135" s="9"/>
      <c r="AI135" s="10"/>
      <c r="AJ135" s="9"/>
      <c r="AK135" s="5"/>
    </row>
    <row r="136" spans="1:37" ht="27" hidden="1" customHeight="1">
      <c r="A136" s="5"/>
      <c r="B136" s="5"/>
      <c r="C136" s="5"/>
      <c r="D136" s="5"/>
      <c r="E136" s="13"/>
      <c r="F136" s="14"/>
      <c r="G136" s="1"/>
      <c r="H136" s="14"/>
      <c r="I136" s="5"/>
      <c r="J136" s="1"/>
      <c r="K136" s="5"/>
      <c r="L136" s="6"/>
      <c r="M136" s="5"/>
      <c r="N136" s="15"/>
      <c r="O136" s="8"/>
      <c r="P136" s="9"/>
      <c r="Q136" s="8"/>
      <c r="R136" s="9"/>
      <c r="S136" s="8"/>
      <c r="T136" s="9"/>
      <c r="U136" s="8"/>
      <c r="V136" s="9"/>
      <c r="W136" s="8"/>
      <c r="X136" s="9"/>
      <c r="Y136" s="8"/>
      <c r="Z136" s="9"/>
      <c r="AA136" s="8"/>
      <c r="AB136" s="9"/>
      <c r="AC136" s="8"/>
      <c r="AD136" s="8"/>
      <c r="AE136" s="8"/>
      <c r="AF136" s="9"/>
      <c r="AG136" s="10"/>
      <c r="AH136" s="9"/>
      <c r="AI136" s="10"/>
      <c r="AJ136" s="9"/>
      <c r="AK136" s="5"/>
    </row>
    <row r="137" spans="1:37" ht="27" hidden="1" customHeight="1">
      <c r="A137" s="5"/>
      <c r="B137" s="5"/>
      <c r="C137" s="5"/>
      <c r="D137" s="5"/>
      <c r="E137" s="13"/>
      <c r="F137" s="14"/>
      <c r="G137" s="1"/>
      <c r="H137" s="14"/>
      <c r="I137" s="5"/>
      <c r="J137" s="1"/>
      <c r="K137" s="5"/>
      <c r="L137" s="6"/>
      <c r="M137" s="5"/>
      <c r="N137" s="15"/>
      <c r="O137" s="8"/>
      <c r="P137" s="9"/>
      <c r="Q137" s="8"/>
      <c r="R137" s="9"/>
      <c r="S137" s="8"/>
      <c r="T137" s="9"/>
      <c r="U137" s="8"/>
      <c r="V137" s="9"/>
      <c r="W137" s="8"/>
      <c r="X137" s="9"/>
      <c r="Y137" s="8"/>
      <c r="Z137" s="9"/>
      <c r="AA137" s="8"/>
      <c r="AB137" s="9"/>
      <c r="AC137" s="8"/>
      <c r="AD137" s="8"/>
      <c r="AE137" s="8"/>
      <c r="AF137" s="9"/>
      <c r="AG137" s="10"/>
      <c r="AH137" s="9"/>
      <c r="AI137" s="10"/>
      <c r="AJ137" s="9"/>
      <c r="AK137" s="5"/>
    </row>
    <row r="138" spans="1:37" ht="27" hidden="1" customHeight="1">
      <c r="A138" s="5"/>
      <c r="B138" s="5"/>
      <c r="C138" s="5"/>
      <c r="D138" s="5"/>
      <c r="E138" s="13"/>
      <c r="F138" s="14"/>
      <c r="G138" s="1"/>
      <c r="H138" s="14"/>
      <c r="I138" s="5"/>
      <c r="J138" s="1"/>
      <c r="K138" s="5"/>
      <c r="L138" s="6"/>
      <c r="M138" s="5"/>
      <c r="N138" s="15"/>
      <c r="O138" s="8"/>
      <c r="P138" s="9"/>
      <c r="Q138" s="8"/>
      <c r="R138" s="9"/>
      <c r="S138" s="8"/>
      <c r="T138" s="9"/>
      <c r="U138" s="8"/>
      <c r="V138" s="9"/>
      <c r="W138" s="8"/>
      <c r="X138" s="9"/>
      <c r="Y138" s="8"/>
      <c r="Z138" s="9"/>
      <c r="AA138" s="8"/>
      <c r="AB138" s="9"/>
      <c r="AC138" s="8"/>
      <c r="AD138" s="8"/>
      <c r="AE138" s="8"/>
      <c r="AF138" s="9"/>
      <c r="AG138" s="10"/>
      <c r="AH138" s="9"/>
      <c r="AI138" s="10"/>
      <c r="AJ138" s="9"/>
      <c r="AK138" s="5"/>
    </row>
    <row r="139" spans="1:37" ht="27" hidden="1" customHeight="1">
      <c r="A139" s="5"/>
      <c r="B139" s="5"/>
      <c r="C139" s="5"/>
      <c r="D139" s="5"/>
      <c r="E139" s="13"/>
      <c r="F139" s="14"/>
      <c r="G139" s="1"/>
      <c r="H139" s="14"/>
      <c r="I139" s="5"/>
      <c r="J139" s="1"/>
      <c r="K139" s="5"/>
      <c r="L139" s="6"/>
      <c r="M139" s="5"/>
      <c r="N139" s="15"/>
      <c r="O139" s="8"/>
      <c r="P139" s="9"/>
      <c r="Q139" s="8"/>
      <c r="R139" s="9"/>
      <c r="S139" s="8"/>
      <c r="T139" s="9"/>
      <c r="U139" s="8"/>
      <c r="V139" s="9"/>
      <c r="W139" s="8"/>
      <c r="X139" s="9"/>
      <c r="Y139" s="8"/>
      <c r="Z139" s="9"/>
      <c r="AA139" s="8"/>
      <c r="AB139" s="9"/>
      <c r="AC139" s="8"/>
      <c r="AD139" s="8"/>
      <c r="AE139" s="8"/>
      <c r="AF139" s="9"/>
      <c r="AG139" s="10"/>
      <c r="AH139" s="9"/>
      <c r="AI139" s="10"/>
      <c r="AJ139" s="9"/>
      <c r="AK139" s="5"/>
    </row>
    <row r="140" spans="1:37" ht="27" hidden="1" customHeight="1">
      <c r="A140" s="5"/>
      <c r="B140" s="5"/>
      <c r="C140" s="5"/>
      <c r="D140" s="5"/>
      <c r="E140" s="13"/>
      <c r="F140" s="14"/>
      <c r="G140" s="1"/>
      <c r="H140" s="14"/>
      <c r="I140" s="5"/>
      <c r="J140" s="1"/>
      <c r="K140" s="5"/>
      <c r="L140" s="6"/>
      <c r="M140" s="5"/>
      <c r="N140" s="15"/>
      <c r="O140" s="8"/>
      <c r="P140" s="9"/>
      <c r="Q140" s="8"/>
      <c r="R140" s="9"/>
      <c r="S140" s="8"/>
      <c r="T140" s="9"/>
      <c r="U140" s="8"/>
      <c r="V140" s="9"/>
      <c r="W140" s="8"/>
      <c r="X140" s="9"/>
      <c r="Y140" s="8"/>
      <c r="Z140" s="9"/>
      <c r="AA140" s="8"/>
      <c r="AB140" s="9"/>
      <c r="AC140" s="8"/>
      <c r="AD140" s="8"/>
      <c r="AE140" s="8"/>
      <c r="AF140" s="9"/>
      <c r="AG140" s="10"/>
      <c r="AH140" s="9"/>
      <c r="AI140" s="10"/>
      <c r="AJ140" s="9"/>
      <c r="AK140" s="5"/>
    </row>
    <row r="141" spans="1:37" ht="27" hidden="1" customHeight="1">
      <c r="A141" s="5"/>
      <c r="B141" s="5"/>
      <c r="C141" s="5"/>
      <c r="D141" s="5"/>
      <c r="E141" s="13"/>
      <c r="F141" s="14"/>
      <c r="G141" s="1"/>
      <c r="H141" s="14"/>
      <c r="I141" s="5"/>
      <c r="J141" s="1"/>
      <c r="K141" s="5"/>
      <c r="L141" s="6"/>
      <c r="M141" s="5"/>
      <c r="N141" s="15"/>
      <c r="O141" s="8"/>
      <c r="P141" s="9"/>
      <c r="Q141" s="8"/>
      <c r="R141" s="9"/>
      <c r="S141" s="8"/>
      <c r="T141" s="9"/>
      <c r="U141" s="8"/>
      <c r="V141" s="9"/>
      <c r="W141" s="8"/>
      <c r="X141" s="9"/>
      <c r="Y141" s="8"/>
      <c r="Z141" s="9"/>
      <c r="AA141" s="8"/>
      <c r="AB141" s="9"/>
      <c r="AC141" s="8"/>
      <c r="AD141" s="8"/>
      <c r="AE141" s="8"/>
      <c r="AF141" s="9"/>
      <c r="AG141" s="10"/>
      <c r="AH141" s="9"/>
      <c r="AI141" s="10"/>
      <c r="AJ141" s="9"/>
      <c r="AK141" s="5"/>
    </row>
    <row r="142" spans="1:37" ht="27" hidden="1" customHeight="1">
      <c r="A142" s="5"/>
      <c r="B142" s="5"/>
      <c r="C142" s="5"/>
      <c r="D142" s="5"/>
      <c r="E142" s="13"/>
      <c r="F142" s="14"/>
      <c r="G142" s="1"/>
      <c r="H142" s="14"/>
      <c r="I142" s="5"/>
      <c r="J142" s="1"/>
      <c r="K142" s="5"/>
      <c r="L142" s="6"/>
      <c r="M142" s="5"/>
      <c r="N142" s="15"/>
      <c r="O142" s="8"/>
      <c r="P142" s="9"/>
      <c r="Q142" s="8"/>
      <c r="R142" s="9"/>
      <c r="S142" s="8"/>
      <c r="T142" s="9"/>
      <c r="U142" s="8"/>
      <c r="V142" s="9"/>
      <c r="W142" s="8"/>
      <c r="X142" s="9"/>
      <c r="Y142" s="8"/>
      <c r="Z142" s="9"/>
      <c r="AA142" s="8"/>
      <c r="AB142" s="9"/>
      <c r="AC142" s="8"/>
      <c r="AD142" s="8"/>
      <c r="AE142" s="8"/>
      <c r="AF142" s="9"/>
      <c r="AG142" s="10"/>
      <c r="AH142" s="9"/>
      <c r="AI142" s="10"/>
      <c r="AJ142" s="9"/>
      <c r="AK142" s="5"/>
    </row>
    <row r="143" spans="1:37" ht="27" hidden="1" customHeight="1">
      <c r="A143" s="5"/>
      <c r="B143" s="5"/>
      <c r="C143" s="5"/>
      <c r="D143" s="5"/>
      <c r="E143" s="13"/>
      <c r="F143" s="14"/>
      <c r="G143" s="1"/>
      <c r="H143" s="14"/>
      <c r="I143" s="5"/>
      <c r="J143" s="1"/>
      <c r="K143" s="5"/>
      <c r="L143" s="6"/>
      <c r="M143" s="5"/>
      <c r="N143" s="15"/>
      <c r="O143" s="8"/>
      <c r="P143" s="9"/>
      <c r="Q143" s="8"/>
      <c r="R143" s="9"/>
      <c r="S143" s="8"/>
      <c r="T143" s="9"/>
      <c r="U143" s="8"/>
      <c r="V143" s="9"/>
      <c r="W143" s="8"/>
      <c r="X143" s="9"/>
      <c r="Y143" s="8"/>
      <c r="Z143" s="9"/>
      <c r="AA143" s="8"/>
      <c r="AB143" s="9"/>
      <c r="AC143" s="8"/>
      <c r="AD143" s="8"/>
      <c r="AE143" s="8"/>
      <c r="AF143" s="9"/>
      <c r="AG143" s="10"/>
      <c r="AH143" s="9"/>
      <c r="AI143" s="10"/>
      <c r="AJ143" s="9"/>
      <c r="AK143" s="5"/>
    </row>
    <row r="144" spans="1:37" ht="27" hidden="1" customHeight="1">
      <c r="A144" s="5"/>
      <c r="B144" s="5"/>
      <c r="C144" s="5"/>
      <c r="D144" s="5"/>
      <c r="E144" s="13"/>
      <c r="F144" s="14"/>
      <c r="G144" s="1"/>
      <c r="H144" s="14"/>
      <c r="I144" s="5"/>
      <c r="J144" s="1"/>
      <c r="K144" s="5"/>
      <c r="L144" s="6"/>
      <c r="M144" s="5"/>
      <c r="N144" s="15"/>
      <c r="O144" s="8"/>
      <c r="P144" s="9"/>
      <c r="Q144" s="8"/>
      <c r="R144" s="9"/>
      <c r="S144" s="8"/>
      <c r="T144" s="9"/>
      <c r="U144" s="8"/>
      <c r="V144" s="9"/>
      <c r="W144" s="8"/>
      <c r="X144" s="9"/>
      <c r="Y144" s="8"/>
      <c r="Z144" s="9"/>
      <c r="AA144" s="8"/>
      <c r="AB144" s="9"/>
      <c r="AC144" s="8"/>
      <c r="AD144" s="8"/>
      <c r="AE144" s="8"/>
      <c r="AF144" s="9"/>
      <c r="AG144" s="10"/>
      <c r="AH144" s="9"/>
      <c r="AI144" s="10"/>
      <c r="AJ144" s="9"/>
      <c r="AK144" s="5"/>
    </row>
    <row r="145" spans="1:37" ht="27" hidden="1" customHeight="1">
      <c r="A145" s="5"/>
      <c r="B145" s="5"/>
      <c r="C145" s="5"/>
      <c r="D145" s="5"/>
      <c r="E145" s="13"/>
      <c r="F145" s="14"/>
      <c r="G145" s="1"/>
      <c r="H145" s="14"/>
      <c r="I145" s="5"/>
      <c r="J145" s="1"/>
      <c r="K145" s="5"/>
      <c r="L145" s="6"/>
      <c r="M145" s="5"/>
      <c r="N145" s="15"/>
      <c r="O145" s="8"/>
      <c r="P145" s="9"/>
      <c r="Q145" s="8"/>
      <c r="R145" s="9"/>
      <c r="S145" s="8"/>
      <c r="T145" s="9"/>
      <c r="U145" s="8"/>
      <c r="V145" s="9"/>
      <c r="W145" s="8"/>
      <c r="X145" s="9"/>
      <c r="Y145" s="8"/>
      <c r="Z145" s="9"/>
      <c r="AA145" s="8"/>
      <c r="AB145" s="9"/>
      <c r="AC145" s="8"/>
      <c r="AD145" s="8"/>
      <c r="AE145" s="8"/>
      <c r="AF145" s="9"/>
      <c r="AG145" s="10"/>
      <c r="AH145" s="9"/>
      <c r="AI145" s="10"/>
      <c r="AJ145" s="9"/>
      <c r="AK145" s="5"/>
    </row>
    <row r="146" spans="1:37" ht="27" hidden="1" customHeight="1">
      <c r="A146" s="5"/>
      <c r="B146" s="5"/>
      <c r="C146" s="5"/>
      <c r="D146" s="5"/>
      <c r="E146" s="13"/>
      <c r="F146" s="14"/>
      <c r="G146" s="1"/>
      <c r="H146" s="14"/>
      <c r="I146" s="5"/>
      <c r="J146" s="1"/>
      <c r="K146" s="5"/>
      <c r="L146" s="6"/>
      <c r="M146" s="5"/>
      <c r="N146" s="15"/>
      <c r="O146" s="8"/>
      <c r="P146" s="9"/>
      <c r="Q146" s="8"/>
      <c r="R146" s="9"/>
      <c r="S146" s="8"/>
      <c r="T146" s="9"/>
      <c r="U146" s="8"/>
      <c r="V146" s="9"/>
      <c r="W146" s="8"/>
      <c r="X146" s="9"/>
      <c r="Y146" s="8"/>
      <c r="Z146" s="9"/>
      <c r="AA146" s="8"/>
      <c r="AB146" s="9"/>
      <c r="AC146" s="8"/>
      <c r="AD146" s="8"/>
      <c r="AE146" s="8"/>
      <c r="AF146" s="9"/>
      <c r="AG146" s="10"/>
      <c r="AH146" s="9"/>
      <c r="AI146" s="10"/>
      <c r="AJ146" s="9"/>
      <c r="AK146" s="5"/>
    </row>
    <row r="147" spans="1:37" ht="27" hidden="1" customHeight="1">
      <c r="A147" s="5"/>
      <c r="B147" s="5"/>
      <c r="C147" s="5"/>
      <c r="D147" s="5"/>
      <c r="E147" s="13"/>
      <c r="F147" s="14"/>
      <c r="G147" s="1"/>
      <c r="H147" s="14"/>
      <c r="I147" s="5"/>
      <c r="J147" s="1"/>
      <c r="K147" s="5"/>
      <c r="L147" s="6"/>
      <c r="M147" s="5"/>
      <c r="N147" s="15"/>
      <c r="O147" s="8"/>
      <c r="P147" s="9"/>
      <c r="Q147" s="8"/>
      <c r="R147" s="9"/>
      <c r="S147" s="8"/>
      <c r="T147" s="9"/>
      <c r="U147" s="8"/>
      <c r="V147" s="9"/>
      <c r="W147" s="8"/>
      <c r="X147" s="9"/>
      <c r="Y147" s="8"/>
      <c r="Z147" s="9"/>
      <c r="AA147" s="8"/>
      <c r="AB147" s="9"/>
      <c r="AC147" s="8"/>
      <c r="AD147" s="8"/>
      <c r="AE147" s="8"/>
      <c r="AF147" s="9"/>
      <c r="AG147" s="10"/>
      <c r="AH147" s="9"/>
      <c r="AI147" s="10"/>
      <c r="AJ147" s="9"/>
      <c r="AK147" s="5"/>
    </row>
    <row r="148" spans="1:37" ht="27" hidden="1" customHeight="1">
      <c r="A148" s="5"/>
      <c r="B148" s="5"/>
      <c r="C148" s="5"/>
      <c r="D148" s="5"/>
      <c r="E148" s="13"/>
      <c r="F148" s="14"/>
      <c r="G148" s="1"/>
      <c r="H148" s="14"/>
      <c r="I148" s="5"/>
      <c r="J148" s="1"/>
      <c r="K148" s="5"/>
      <c r="L148" s="6"/>
      <c r="M148" s="5"/>
      <c r="N148" s="15"/>
      <c r="O148" s="8"/>
      <c r="P148" s="9"/>
      <c r="Q148" s="8"/>
      <c r="R148" s="9"/>
      <c r="S148" s="8"/>
      <c r="T148" s="9"/>
      <c r="U148" s="8"/>
      <c r="V148" s="9"/>
      <c r="W148" s="8"/>
      <c r="X148" s="9"/>
      <c r="Y148" s="8"/>
      <c r="Z148" s="9"/>
      <c r="AA148" s="8"/>
      <c r="AB148" s="9"/>
      <c r="AC148" s="8"/>
      <c r="AD148" s="8"/>
      <c r="AE148" s="8"/>
      <c r="AF148" s="9"/>
      <c r="AG148" s="10"/>
      <c r="AH148" s="9"/>
      <c r="AI148" s="10"/>
      <c r="AJ148" s="9"/>
      <c r="AK148" s="5"/>
    </row>
    <row r="149" spans="1:37" ht="27" hidden="1" customHeight="1">
      <c r="A149" s="5"/>
      <c r="B149" s="5"/>
      <c r="C149" s="5"/>
      <c r="D149" s="5"/>
      <c r="E149" s="13"/>
      <c r="F149" s="14"/>
      <c r="G149" s="1"/>
      <c r="H149" s="14"/>
      <c r="I149" s="5"/>
      <c r="J149" s="1"/>
      <c r="K149" s="5"/>
      <c r="L149" s="6"/>
      <c r="M149" s="5"/>
      <c r="N149" s="15"/>
      <c r="O149" s="8"/>
      <c r="P149" s="9"/>
      <c r="Q149" s="8"/>
      <c r="R149" s="9"/>
      <c r="S149" s="8"/>
      <c r="T149" s="9"/>
      <c r="U149" s="8"/>
      <c r="V149" s="9"/>
      <c r="W149" s="8"/>
      <c r="X149" s="9"/>
      <c r="Y149" s="8"/>
      <c r="Z149" s="9"/>
      <c r="AA149" s="8"/>
      <c r="AB149" s="9"/>
      <c r="AC149" s="8"/>
      <c r="AD149" s="8"/>
      <c r="AE149" s="8"/>
      <c r="AF149" s="9"/>
      <c r="AG149" s="10"/>
      <c r="AH149" s="9"/>
      <c r="AI149" s="10"/>
      <c r="AJ149" s="9"/>
      <c r="AK149" s="5"/>
    </row>
    <row r="150" spans="1:37" ht="27" hidden="1" customHeight="1">
      <c r="A150" s="5"/>
      <c r="B150" s="5"/>
      <c r="C150" s="5"/>
      <c r="D150" s="5"/>
      <c r="E150" s="13"/>
      <c r="F150" s="14"/>
      <c r="G150" s="1"/>
      <c r="H150" s="14"/>
      <c r="I150" s="5"/>
      <c r="J150" s="1"/>
      <c r="K150" s="5"/>
      <c r="L150" s="6"/>
      <c r="M150" s="5"/>
      <c r="N150" s="15"/>
      <c r="O150" s="8"/>
      <c r="P150" s="9"/>
      <c r="Q150" s="8"/>
      <c r="R150" s="9"/>
      <c r="S150" s="8"/>
      <c r="T150" s="9"/>
      <c r="U150" s="8"/>
      <c r="V150" s="9"/>
      <c r="W150" s="8"/>
      <c r="X150" s="9"/>
      <c r="Y150" s="8"/>
      <c r="Z150" s="9"/>
      <c r="AA150" s="8"/>
      <c r="AB150" s="9"/>
      <c r="AC150" s="8"/>
      <c r="AD150" s="8"/>
      <c r="AE150" s="8"/>
      <c r="AF150" s="9"/>
      <c r="AG150" s="10"/>
      <c r="AH150" s="9"/>
      <c r="AI150" s="10"/>
      <c r="AJ150" s="9"/>
      <c r="AK150" s="5"/>
    </row>
    <row r="151" spans="1:37" ht="27" hidden="1" customHeight="1">
      <c r="A151" s="5"/>
      <c r="B151" s="5"/>
      <c r="C151" s="5"/>
      <c r="D151" s="5"/>
      <c r="E151" s="13"/>
      <c r="F151" s="14"/>
      <c r="G151" s="1"/>
      <c r="H151" s="14"/>
      <c r="I151" s="5"/>
      <c r="J151" s="1"/>
      <c r="K151" s="5"/>
      <c r="L151" s="6"/>
      <c r="M151" s="5"/>
      <c r="N151" s="15"/>
      <c r="O151" s="8"/>
      <c r="P151" s="9"/>
      <c r="Q151" s="8"/>
      <c r="R151" s="9"/>
      <c r="S151" s="8"/>
      <c r="T151" s="9"/>
      <c r="U151" s="8"/>
      <c r="V151" s="9"/>
      <c r="W151" s="8"/>
      <c r="X151" s="9"/>
      <c r="Y151" s="8"/>
      <c r="Z151" s="9"/>
      <c r="AA151" s="8"/>
      <c r="AB151" s="9"/>
      <c r="AC151" s="8"/>
      <c r="AD151" s="8"/>
      <c r="AE151" s="8"/>
      <c r="AF151" s="9"/>
      <c r="AG151" s="10"/>
      <c r="AH151" s="9"/>
      <c r="AI151" s="10"/>
      <c r="AJ151" s="9"/>
      <c r="AK151" s="5"/>
    </row>
    <row r="152" spans="1:37" ht="27" hidden="1" customHeight="1">
      <c r="A152" s="5"/>
      <c r="B152" s="5"/>
      <c r="C152" s="5"/>
      <c r="D152" s="5"/>
      <c r="E152" s="13"/>
      <c r="F152" s="14"/>
      <c r="G152" s="1"/>
      <c r="H152" s="14"/>
      <c r="I152" s="5"/>
      <c r="J152" s="1"/>
      <c r="K152" s="5"/>
      <c r="L152" s="6"/>
      <c r="M152" s="5"/>
      <c r="N152" s="15"/>
      <c r="O152" s="8"/>
      <c r="P152" s="9"/>
      <c r="Q152" s="8"/>
      <c r="R152" s="9"/>
      <c r="S152" s="8"/>
      <c r="T152" s="9"/>
      <c r="U152" s="8"/>
      <c r="V152" s="9"/>
      <c r="W152" s="8"/>
      <c r="X152" s="9"/>
      <c r="Y152" s="8"/>
      <c r="Z152" s="9"/>
      <c r="AA152" s="8"/>
      <c r="AB152" s="9"/>
      <c r="AC152" s="8"/>
      <c r="AD152" s="8"/>
      <c r="AE152" s="8"/>
      <c r="AF152" s="9"/>
      <c r="AG152" s="10"/>
      <c r="AH152" s="9"/>
      <c r="AI152" s="10"/>
      <c r="AJ152" s="9"/>
      <c r="AK152" s="5"/>
    </row>
    <row r="153" spans="1:37" ht="27" hidden="1" customHeight="1">
      <c r="A153" s="5"/>
      <c r="B153" s="5"/>
      <c r="C153" s="5"/>
      <c r="D153" s="5"/>
      <c r="E153" s="13"/>
      <c r="F153" s="14"/>
      <c r="G153" s="1"/>
      <c r="H153" s="14"/>
      <c r="I153" s="5"/>
      <c r="J153" s="1"/>
      <c r="K153" s="5"/>
      <c r="L153" s="6"/>
      <c r="M153" s="5"/>
      <c r="N153" s="15"/>
      <c r="O153" s="8"/>
      <c r="P153" s="9"/>
      <c r="Q153" s="8"/>
      <c r="R153" s="9"/>
      <c r="S153" s="8"/>
      <c r="T153" s="9"/>
      <c r="U153" s="8"/>
      <c r="V153" s="9"/>
      <c r="W153" s="8"/>
      <c r="X153" s="9"/>
      <c r="Y153" s="8"/>
      <c r="Z153" s="9"/>
      <c r="AA153" s="8"/>
      <c r="AB153" s="9"/>
      <c r="AC153" s="8"/>
      <c r="AD153" s="8"/>
      <c r="AE153" s="8"/>
      <c r="AF153" s="9"/>
      <c r="AG153" s="10"/>
      <c r="AH153" s="9"/>
      <c r="AI153" s="10"/>
      <c r="AJ153" s="9"/>
      <c r="AK153" s="5"/>
    </row>
    <row r="154" spans="1:37" ht="27" hidden="1" customHeight="1">
      <c r="A154" s="5"/>
      <c r="B154" s="5"/>
      <c r="C154" s="5"/>
      <c r="D154" s="5"/>
      <c r="E154" s="13"/>
      <c r="F154" s="14"/>
      <c r="G154" s="1"/>
      <c r="H154" s="14"/>
      <c r="I154" s="5"/>
      <c r="J154" s="1"/>
      <c r="K154" s="5"/>
      <c r="L154" s="6"/>
      <c r="M154" s="5"/>
      <c r="N154" s="15"/>
      <c r="O154" s="8"/>
      <c r="P154" s="9"/>
      <c r="Q154" s="8"/>
      <c r="R154" s="9"/>
      <c r="S154" s="8"/>
      <c r="T154" s="9"/>
      <c r="U154" s="8"/>
      <c r="V154" s="9"/>
      <c r="W154" s="8"/>
      <c r="X154" s="9"/>
      <c r="Y154" s="8"/>
      <c r="Z154" s="9"/>
      <c r="AA154" s="8"/>
      <c r="AB154" s="9"/>
      <c r="AC154" s="8"/>
      <c r="AD154" s="8"/>
      <c r="AE154" s="8"/>
      <c r="AF154" s="9"/>
      <c r="AG154" s="10"/>
      <c r="AH154" s="9"/>
      <c r="AI154" s="10"/>
      <c r="AJ154" s="9"/>
      <c r="AK154" s="5"/>
    </row>
    <row r="155" spans="1:37" ht="27" hidden="1" customHeight="1">
      <c r="A155" s="5"/>
      <c r="B155" s="5"/>
      <c r="C155" s="5"/>
      <c r="D155" s="5"/>
      <c r="E155" s="13"/>
      <c r="F155" s="14"/>
      <c r="G155" s="1"/>
      <c r="H155" s="14"/>
      <c r="I155" s="5"/>
      <c r="J155" s="1"/>
      <c r="K155" s="5"/>
      <c r="L155" s="6"/>
      <c r="M155" s="5"/>
      <c r="N155" s="15"/>
      <c r="O155" s="8"/>
      <c r="P155" s="9"/>
      <c r="Q155" s="8"/>
      <c r="R155" s="9"/>
      <c r="S155" s="8"/>
      <c r="T155" s="9"/>
      <c r="U155" s="8"/>
      <c r="V155" s="9"/>
      <c r="W155" s="8"/>
      <c r="X155" s="9"/>
      <c r="Y155" s="8"/>
      <c r="Z155" s="9"/>
      <c r="AA155" s="8"/>
      <c r="AB155" s="9"/>
      <c r="AC155" s="8"/>
      <c r="AD155" s="8"/>
      <c r="AE155" s="8"/>
      <c r="AF155" s="9"/>
      <c r="AG155" s="10"/>
      <c r="AH155" s="9"/>
      <c r="AI155" s="10"/>
      <c r="AJ155" s="9"/>
      <c r="AK155" s="5"/>
    </row>
    <row r="156" spans="1:37" ht="27" hidden="1" customHeight="1">
      <c r="A156" s="5"/>
      <c r="B156" s="5"/>
      <c r="C156" s="5"/>
      <c r="D156" s="5"/>
      <c r="E156" s="13"/>
      <c r="F156" s="14"/>
      <c r="G156" s="1"/>
      <c r="H156" s="14"/>
      <c r="I156" s="5"/>
      <c r="J156" s="1"/>
      <c r="K156" s="5"/>
      <c r="L156" s="6"/>
      <c r="M156" s="5"/>
      <c r="N156" s="15"/>
      <c r="O156" s="8"/>
      <c r="P156" s="9"/>
      <c r="Q156" s="8"/>
      <c r="R156" s="9"/>
      <c r="S156" s="8"/>
      <c r="T156" s="9"/>
      <c r="U156" s="8"/>
      <c r="V156" s="9"/>
      <c r="W156" s="8"/>
      <c r="X156" s="9"/>
      <c r="Y156" s="8"/>
      <c r="Z156" s="9"/>
      <c r="AA156" s="8"/>
      <c r="AB156" s="9"/>
      <c r="AC156" s="8"/>
      <c r="AD156" s="8"/>
      <c r="AE156" s="8"/>
      <c r="AF156" s="9"/>
      <c r="AG156" s="10"/>
      <c r="AH156" s="9"/>
      <c r="AI156" s="10"/>
      <c r="AJ156" s="9"/>
      <c r="AK156" s="5"/>
    </row>
    <row r="157" spans="1:37" ht="27" hidden="1" customHeight="1">
      <c r="A157" s="5"/>
      <c r="B157" s="5"/>
      <c r="C157" s="5"/>
      <c r="D157" s="5"/>
      <c r="E157" s="13"/>
      <c r="F157" s="14"/>
      <c r="G157" s="1"/>
      <c r="H157" s="14"/>
      <c r="I157" s="5"/>
      <c r="J157" s="1"/>
      <c r="K157" s="5"/>
      <c r="L157" s="6"/>
      <c r="M157" s="5"/>
      <c r="N157" s="15"/>
      <c r="O157" s="8"/>
      <c r="P157" s="9"/>
      <c r="Q157" s="8"/>
      <c r="R157" s="9"/>
      <c r="S157" s="8"/>
      <c r="T157" s="9"/>
      <c r="U157" s="8"/>
      <c r="V157" s="9"/>
      <c r="W157" s="8"/>
      <c r="X157" s="9"/>
      <c r="Y157" s="8"/>
      <c r="Z157" s="9"/>
      <c r="AA157" s="8"/>
      <c r="AB157" s="9"/>
      <c r="AC157" s="8"/>
      <c r="AD157" s="8"/>
      <c r="AE157" s="8"/>
      <c r="AF157" s="9"/>
      <c r="AG157" s="10"/>
      <c r="AH157" s="9"/>
      <c r="AI157" s="10"/>
      <c r="AJ157" s="9"/>
      <c r="AK157" s="5"/>
    </row>
    <row r="158" spans="1:37" ht="27" hidden="1" customHeight="1">
      <c r="A158" s="5"/>
      <c r="B158" s="5"/>
      <c r="C158" s="5"/>
      <c r="D158" s="5"/>
      <c r="E158" s="13"/>
      <c r="F158" s="14"/>
      <c r="G158" s="1"/>
      <c r="H158" s="14"/>
      <c r="I158" s="5"/>
      <c r="J158" s="1"/>
      <c r="K158" s="5"/>
      <c r="L158" s="6"/>
      <c r="M158" s="5"/>
      <c r="N158" s="15"/>
      <c r="O158" s="8"/>
      <c r="P158" s="9"/>
      <c r="Q158" s="8"/>
      <c r="R158" s="9"/>
      <c r="S158" s="8"/>
      <c r="T158" s="9"/>
      <c r="U158" s="8"/>
      <c r="V158" s="9"/>
      <c r="W158" s="8"/>
      <c r="X158" s="9"/>
      <c r="Y158" s="8"/>
      <c r="Z158" s="9"/>
      <c r="AA158" s="8"/>
      <c r="AB158" s="9"/>
      <c r="AC158" s="8"/>
      <c r="AD158" s="8"/>
      <c r="AE158" s="8"/>
      <c r="AF158" s="9"/>
      <c r="AG158" s="10"/>
      <c r="AH158" s="9"/>
      <c r="AI158" s="10"/>
      <c r="AJ158" s="9"/>
      <c r="AK158" s="5"/>
    </row>
    <row r="159" spans="1:37" ht="27" hidden="1" customHeight="1">
      <c r="A159" s="5"/>
      <c r="B159" s="5"/>
      <c r="C159" s="5"/>
      <c r="D159" s="5"/>
      <c r="E159" s="13"/>
      <c r="F159" s="14"/>
      <c r="G159" s="1"/>
      <c r="H159" s="14"/>
      <c r="I159" s="5"/>
      <c r="J159" s="1"/>
      <c r="K159" s="5"/>
      <c r="L159" s="6"/>
      <c r="M159" s="5"/>
      <c r="N159" s="15"/>
      <c r="O159" s="8"/>
      <c r="P159" s="9"/>
      <c r="Q159" s="8"/>
      <c r="R159" s="9"/>
      <c r="S159" s="8"/>
      <c r="T159" s="9"/>
      <c r="U159" s="8"/>
      <c r="V159" s="9"/>
      <c r="W159" s="8"/>
      <c r="X159" s="9"/>
      <c r="Y159" s="8"/>
      <c r="Z159" s="9"/>
      <c r="AA159" s="8"/>
      <c r="AB159" s="9"/>
      <c r="AC159" s="8"/>
      <c r="AD159" s="8"/>
      <c r="AE159" s="8"/>
      <c r="AF159" s="9"/>
      <c r="AG159" s="10"/>
      <c r="AH159" s="9"/>
      <c r="AI159" s="10"/>
      <c r="AJ159" s="9"/>
      <c r="AK159" s="5"/>
    </row>
    <row r="160" spans="1:37" ht="27" hidden="1" customHeight="1">
      <c r="A160" s="5"/>
      <c r="B160" s="5"/>
      <c r="C160" s="5"/>
      <c r="D160" s="5"/>
      <c r="E160" s="13"/>
      <c r="F160" s="14"/>
      <c r="G160" s="1"/>
      <c r="H160" s="14"/>
      <c r="I160" s="5"/>
      <c r="J160" s="1"/>
      <c r="K160" s="5"/>
      <c r="L160" s="6"/>
      <c r="M160" s="5"/>
      <c r="N160" s="15"/>
      <c r="O160" s="8"/>
      <c r="P160" s="9"/>
      <c r="Q160" s="8"/>
      <c r="R160" s="9"/>
      <c r="S160" s="8"/>
      <c r="T160" s="9"/>
      <c r="U160" s="8"/>
      <c r="V160" s="9"/>
      <c r="W160" s="8"/>
      <c r="X160" s="9"/>
      <c r="Y160" s="8"/>
      <c r="Z160" s="9"/>
      <c r="AA160" s="8"/>
      <c r="AB160" s="9"/>
      <c r="AC160" s="8"/>
      <c r="AD160" s="8"/>
      <c r="AE160" s="8"/>
      <c r="AF160" s="9"/>
      <c r="AG160" s="10"/>
      <c r="AH160" s="9"/>
      <c r="AI160" s="10"/>
      <c r="AJ160" s="9"/>
      <c r="AK160" s="5"/>
    </row>
  </sheetData>
  <autoFilter ref="A3:AK160" xr:uid="{00000000-0009-0000-0000-000006000000}">
    <filterColumn colId="14">
      <customFilters>
        <customFilter operator="notEqual" val=""/>
      </customFilters>
    </filterColumn>
  </autoFilter>
  <mergeCells count="38">
    <mergeCell ref="AJ2:AJ3"/>
    <mergeCell ref="AK2:AK3"/>
    <mergeCell ref="AE2:AE3"/>
    <mergeCell ref="AF2:AF3"/>
    <mergeCell ref="AG2:AG3"/>
    <mergeCell ref="AH2:AH3"/>
    <mergeCell ref="AI2:AI3"/>
    <mergeCell ref="Z2:Z3"/>
    <mergeCell ref="AA2:AA3"/>
    <mergeCell ref="AB2:AB3"/>
    <mergeCell ref="AC2:AC3"/>
    <mergeCell ref="AD2:AD3"/>
    <mergeCell ref="U2:U3"/>
    <mergeCell ref="V2:V3"/>
    <mergeCell ref="W2:W3"/>
    <mergeCell ref="X2:X3"/>
    <mergeCell ref="Y2:Y3"/>
    <mergeCell ref="P2:P3"/>
    <mergeCell ref="Q2:Q3"/>
    <mergeCell ref="R2:R3"/>
    <mergeCell ref="S2:S3"/>
    <mergeCell ref="T2:T3"/>
    <mergeCell ref="A1:AK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honeticPr fontId="63" type="noConversion"/>
  <conditionalFormatting sqref="L4:L15">
    <cfRule type="dataBar" priority="57">
      <dataBar>
        <cfvo type="num" val="0"/>
        <cfvo type="num" val="1"/>
        <color rgb="FF00B0F0"/>
      </dataBar>
      <extLst>
        <ext xmlns:x14="http://schemas.microsoft.com/office/spreadsheetml/2009/9/main" uri="{B025F937-C7B1-47D3-B67F-A62EFF666E3E}">
          <x14:id>{8C509795-7650-4A1B-B1D1-E5279737A42B}</x14:id>
        </ext>
      </extLst>
    </cfRule>
  </conditionalFormatting>
  <conditionalFormatting sqref="L16:L160">
    <cfRule type="dataBar" priority="46">
      <dataBar>
        <cfvo type="num" val="0"/>
        <cfvo type="num" val="1"/>
        <color rgb="FF00B0F0"/>
      </dataBar>
      <extLst>
        <ext xmlns:x14="http://schemas.microsoft.com/office/spreadsheetml/2009/9/main" uri="{B025F937-C7B1-47D3-B67F-A62EFF666E3E}">
          <x14:id>{F6B206C6-4088-48B0-BFEF-94E7397EFFA1}</x14:id>
        </ext>
      </extLst>
    </cfRule>
  </conditionalFormatting>
  <conditionalFormatting sqref="O11">
    <cfRule type="dataBar" priority="4">
      <dataBar>
        <cfvo type="num" val="0"/>
        <cfvo type="num" val="1"/>
        <color rgb="FF00B050"/>
      </dataBar>
      <extLst>
        <ext xmlns:x14="http://schemas.microsoft.com/office/spreadsheetml/2009/9/main" uri="{B025F937-C7B1-47D3-B67F-A62EFF666E3E}">
          <x14:id>{FCD6D948-6963-478C-A753-F17FFD6070E7}</x14:id>
        </ext>
      </extLst>
    </cfRule>
  </conditionalFormatting>
  <conditionalFormatting sqref="O12:O18">
    <cfRule type="dataBar" priority="10">
      <dataBar>
        <cfvo type="num" val="0"/>
        <cfvo type="num" val="1"/>
        <color rgb="FF00B050"/>
      </dataBar>
      <extLst>
        <ext xmlns:x14="http://schemas.microsoft.com/office/spreadsheetml/2009/9/main" uri="{B025F937-C7B1-47D3-B67F-A62EFF666E3E}">
          <x14:id>{CDEE1C01-324B-4949-9E2A-DB0881A37327}</x14:id>
        </ext>
      </extLst>
    </cfRule>
  </conditionalFormatting>
  <conditionalFormatting sqref="O21:O22">
    <cfRule type="dataBar" priority="9">
      <dataBar>
        <cfvo type="num" val="0"/>
        <cfvo type="num" val="1"/>
        <color rgb="FF00B050"/>
      </dataBar>
      <extLst>
        <ext xmlns:x14="http://schemas.microsoft.com/office/spreadsheetml/2009/9/main" uri="{B025F937-C7B1-47D3-B67F-A62EFF666E3E}">
          <x14:id>{47D329F0-E028-4419-ABDB-61B905574951}</x14:id>
        </ext>
      </extLst>
    </cfRule>
  </conditionalFormatting>
  <conditionalFormatting sqref="O58:O59">
    <cfRule type="dataBar" priority="25">
      <dataBar>
        <cfvo type="num" val="0"/>
        <cfvo type="num" val="1"/>
        <color rgb="FF00B050"/>
      </dataBar>
      <extLst>
        <ext xmlns:x14="http://schemas.microsoft.com/office/spreadsheetml/2009/9/main" uri="{B025F937-C7B1-47D3-B67F-A62EFF666E3E}">
          <x14:id>{EA1A8DF4-3251-4C6A-BBEB-BE3960E5532E}</x14:id>
        </ext>
      </extLst>
    </cfRule>
  </conditionalFormatting>
  <conditionalFormatting sqref="O60:O61">
    <cfRule type="dataBar" priority="24">
      <dataBar>
        <cfvo type="num" val="0"/>
        <cfvo type="num" val="1"/>
        <color rgb="FF00B050"/>
      </dataBar>
      <extLst>
        <ext xmlns:x14="http://schemas.microsoft.com/office/spreadsheetml/2009/9/main" uri="{B025F937-C7B1-47D3-B67F-A62EFF666E3E}">
          <x14:id>{F8D9E43B-45BD-49CF-B558-7E57E64E50A4}</x14:id>
        </ext>
      </extLst>
    </cfRule>
  </conditionalFormatting>
  <conditionalFormatting sqref="O78">
    <cfRule type="dataBar" priority="21">
      <dataBar>
        <cfvo type="num" val="0"/>
        <cfvo type="num" val="1"/>
        <color rgb="FF00B050"/>
      </dataBar>
      <extLst>
        <ext xmlns:x14="http://schemas.microsoft.com/office/spreadsheetml/2009/9/main" uri="{B025F937-C7B1-47D3-B67F-A62EFF666E3E}">
          <x14:id>{A8E961C5-57A7-4B2A-9398-24DEDF29168F}</x14:id>
        </ext>
      </extLst>
    </cfRule>
  </conditionalFormatting>
  <conditionalFormatting sqref="O79">
    <cfRule type="dataBar" priority="20">
      <dataBar>
        <cfvo type="num" val="0"/>
        <cfvo type="num" val="1"/>
        <color rgb="FF00B050"/>
      </dataBar>
      <extLst>
        <ext xmlns:x14="http://schemas.microsoft.com/office/spreadsheetml/2009/9/main" uri="{B025F937-C7B1-47D3-B67F-A62EFF666E3E}">
          <x14:id>{FC2BEA72-D2E8-4867-B370-9FAFCFA835F7}</x14:id>
        </ext>
      </extLst>
    </cfRule>
  </conditionalFormatting>
  <conditionalFormatting sqref="O80">
    <cfRule type="dataBar" priority="2">
      <dataBar>
        <cfvo type="num" val="0"/>
        <cfvo type="num" val="1"/>
        <color rgb="FF00B050"/>
      </dataBar>
      <extLst>
        <ext xmlns:x14="http://schemas.microsoft.com/office/spreadsheetml/2009/9/main" uri="{B025F937-C7B1-47D3-B67F-A62EFF666E3E}">
          <x14:id>{7F918CAB-6B92-4FB3-BD96-5593A202621F}</x14:id>
        </ext>
      </extLst>
    </cfRule>
  </conditionalFormatting>
  <conditionalFormatting sqref="O81">
    <cfRule type="dataBar" priority="8">
      <dataBar>
        <cfvo type="num" val="0"/>
        <cfvo type="num" val="1"/>
        <color rgb="FF00B050"/>
      </dataBar>
      <extLst>
        <ext xmlns:x14="http://schemas.microsoft.com/office/spreadsheetml/2009/9/main" uri="{B025F937-C7B1-47D3-B67F-A62EFF666E3E}">
          <x14:id>{2BA242D6-126E-45E6-B0B3-F54294DA811A}</x14:id>
        </ext>
      </extLst>
    </cfRule>
  </conditionalFormatting>
  <conditionalFormatting sqref="O82">
    <cfRule type="dataBar" priority="7">
      <dataBar>
        <cfvo type="num" val="0"/>
        <cfvo type="num" val="1"/>
        <color rgb="FF00B050"/>
      </dataBar>
      <extLst>
        <ext xmlns:x14="http://schemas.microsoft.com/office/spreadsheetml/2009/9/main" uri="{B025F937-C7B1-47D3-B67F-A62EFF666E3E}">
          <x14:id>{4DF483ED-CE3D-4CA3-B9A2-C4043C3C5929}</x14:id>
        </ext>
      </extLst>
    </cfRule>
  </conditionalFormatting>
  <conditionalFormatting sqref="O83">
    <cfRule type="dataBar" priority="6">
      <dataBar>
        <cfvo type="num" val="0"/>
        <cfvo type="num" val="1"/>
        <color rgb="FF00B050"/>
      </dataBar>
      <extLst>
        <ext xmlns:x14="http://schemas.microsoft.com/office/spreadsheetml/2009/9/main" uri="{B025F937-C7B1-47D3-B67F-A62EFF666E3E}">
          <x14:id>{0BDA7497-ADC2-4887-BA85-18BB1422350D}</x14:id>
        </ext>
      </extLst>
    </cfRule>
  </conditionalFormatting>
  <conditionalFormatting sqref="O84">
    <cfRule type="dataBar" priority="29">
      <dataBar>
        <cfvo type="num" val="0"/>
        <cfvo type="num" val="1"/>
        <color rgb="FF00B050"/>
      </dataBar>
      <extLst>
        <ext xmlns:x14="http://schemas.microsoft.com/office/spreadsheetml/2009/9/main" uri="{B025F937-C7B1-47D3-B67F-A62EFF666E3E}">
          <x14:id>{DB1778AB-8025-44A8-8BE7-CA3BB0048E98}</x14:id>
        </ext>
      </extLst>
    </cfRule>
  </conditionalFormatting>
  <conditionalFormatting sqref="O85">
    <cfRule type="dataBar" priority="28">
      <dataBar>
        <cfvo type="num" val="0"/>
        <cfvo type="num" val="1"/>
        <color rgb="FF00B050"/>
      </dataBar>
      <extLst>
        <ext xmlns:x14="http://schemas.microsoft.com/office/spreadsheetml/2009/9/main" uri="{B025F937-C7B1-47D3-B67F-A62EFF666E3E}">
          <x14:id>{81F4DDD1-B370-43C7-BCEF-120C23D00B60}</x14:id>
        </ext>
      </extLst>
    </cfRule>
  </conditionalFormatting>
  <conditionalFormatting sqref="O86">
    <cfRule type="dataBar" priority="19">
      <dataBar>
        <cfvo type="num" val="0"/>
        <cfvo type="num" val="1"/>
        <color rgb="FF00B050"/>
      </dataBar>
      <extLst>
        <ext xmlns:x14="http://schemas.microsoft.com/office/spreadsheetml/2009/9/main" uri="{B025F937-C7B1-47D3-B67F-A62EFF666E3E}">
          <x14:id>{AA446EA0-1EDB-4FE6-AC8C-0664E2F282F7}</x14:id>
        </ext>
      </extLst>
    </cfRule>
  </conditionalFormatting>
  <conditionalFormatting sqref="O87">
    <cfRule type="dataBar" priority="17">
      <dataBar>
        <cfvo type="num" val="0"/>
        <cfvo type="num" val="1"/>
        <color rgb="FF00B050"/>
      </dataBar>
      <extLst>
        <ext xmlns:x14="http://schemas.microsoft.com/office/spreadsheetml/2009/9/main" uri="{B025F937-C7B1-47D3-B67F-A62EFF666E3E}">
          <x14:id>{F7AB994F-4D73-4DF2-951F-5FCCC1A61CD1}</x14:id>
        </ext>
      </extLst>
    </cfRule>
  </conditionalFormatting>
  <conditionalFormatting sqref="O88">
    <cfRule type="dataBar" priority="1">
      <dataBar>
        <cfvo type="num" val="0"/>
        <cfvo type="num" val="1"/>
        <color rgb="FF00B050"/>
      </dataBar>
      <extLst>
        <ext xmlns:x14="http://schemas.microsoft.com/office/spreadsheetml/2009/9/main" uri="{B025F937-C7B1-47D3-B67F-A62EFF666E3E}">
          <x14:id>{1E07C7A8-2D3A-4749-BCF0-B30956E239B5}</x14:id>
        </ext>
      </extLst>
    </cfRule>
  </conditionalFormatting>
  <conditionalFormatting sqref="O89:O90">
    <cfRule type="dataBar" priority="13">
      <dataBar>
        <cfvo type="num" val="0"/>
        <cfvo type="num" val="1"/>
        <color rgb="FF00B050"/>
      </dataBar>
      <extLst>
        <ext xmlns:x14="http://schemas.microsoft.com/office/spreadsheetml/2009/9/main" uri="{B025F937-C7B1-47D3-B67F-A62EFF666E3E}">
          <x14:id>{2B8BA41F-BF48-4893-ABEF-80F66F08F420}</x14:id>
        </ext>
      </extLst>
    </cfRule>
  </conditionalFormatting>
  <conditionalFormatting sqref="O91">
    <cfRule type="dataBar" priority="5">
      <dataBar>
        <cfvo type="num" val="0"/>
        <cfvo type="num" val="1"/>
        <color rgb="FF00B050"/>
      </dataBar>
      <extLst>
        <ext xmlns:x14="http://schemas.microsoft.com/office/spreadsheetml/2009/9/main" uri="{B025F937-C7B1-47D3-B67F-A62EFF666E3E}">
          <x14:id>{9833B729-1A0D-4C30-9CC6-1719C5C08B43}</x14:id>
        </ext>
      </extLst>
    </cfRule>
  </conditionalFormatting>
  <conditionalFormatting sqref="O92">
    <cfRule type="dataBar" priority="12">
      <dataBar>
        <cfvo type="num" val="0"/>
        <cfvo type="num" val="1"/>
        <color rgb="FF00B050"/>
      </dataBar>
      <extLst>
        <ext xmlns:x14="http://schemas.microsoft.com/office/spreadsheetml/2009/9/main" uri="{B025F937-C7B1-47D3-B67F-A62EFF666E3E}">
          <x14:id>{5AC90ADC-7789-4B79-9062-D5B42C7379C7}</x14:id>
        </ext>
      </extLst>
    </cfRule>
  </conditionalFormatting>
  <conditionalFormatting sqref="O93">
    <cfRule type="dataBar" priority="11">
      <dataBar>
        <cfvo type="num" val="0"/>
        <cfvo type="num" val="1"/>
        <color rgb="FF00B050"/>
      </dataBar>
      <extLst>
        <ext xmlns:x14="http://schemas.microsoft.com/office/spreadsheetml/2009/9/main" uri="{B025F937-C7B1-47D3-B67F-A62EFF666E3E}">
          <x14:id>{561736CA-CCFD-4BD8-BBDC-3F9DC43790E0}</x14:id>
        </ext>
      </extLst>
    </cfRule>
  </conditionalFormatting>
  <conditionalFormatting sqref="O94">
    <cfRule type="dataBar" priority="30">
      <dataBar>
        <cfvo type="num" val="0"/>
        <cfvo type="num" val="1"/>
        <color rgb="FF00B050"/>
      </dataBar>
      <extLst>
        <ext xmlns:x14="http://schemas.microsoft.com/office/spreadsheetml/2009/9/main" uri="{B025F937-C7B1-47D3-B67F-A62EFF666E3E}">
          <x14:id>{FE604734-7E77-4E7C-B2C3-BF49DCFD3A9B}</x14:id>
        </ext>
      </extLst>
    </cfRule>
  </conditionalFormatting>
  <conditionalFormatting sqref="O95">
    <cfRule type="dataBar" priority="27">
      <dataBar>
        <cfvo type="num" val="0"/>
        <cfvo type="num" val="1"/>
        <color rgb="FF00B050"/>
      </dataBar>
      <extLst>
        <ext xmlns:x14="http://schemas.microsoft.com/office/spreadsheetml/2009/9/main" uri="{B025F937-C7B1-47D3-B67F-A62EFF666E3E}">
          <x14:id>{7C5B9B67-4E8F-4E08-BD2A-A6F84F429A42}</x14:id>
        </ext>
      </extLst>
    </cfRule>
  </conditionalFormatting>
  <conditionalFormatting sqref="O96">
    <cfRule type="dataBar" priority="18">
      <dataBar>
        <cfvo type="num" val="0"/>
        <cfvo type="num" val="1"/>
        <color rgb="FF00B050"/>
      </dataBar>
      <extLst>
        <ext xmlns:x14="http://schemas.microsoft.com/office/spreadsheetml/2009/9/main" uri="{B025F937-C7B1-47D3-B67F-A62EFF666E3E}">
          <x14:id>{2C53D0DE-BBC3-4C33-865E-04DB1D8A2000}</x14:id>
        </ext>
      </extLst>
    </cfRule>
  </conditionalFormatting>
  <conditionalFormatting sqref="O97">
    <cfRule type="dataBar" priority="16">
      <dataBar>
        <cfvo type="num" val="0"/>
        <cfvo type="num" val="1"/>
        <color rgb="FF00B050"/>
      </dataBar>
      <extLst>
        <ext xmlns:x14="http://schemas.microsoft.com/office/spreadsheetml/2009/9/main" uri="{B025F937-C7B1-47D3-B67F-A62EFF666E3E}">
          <x14:id>{4EF93F00-C903-45AD-98AB-F83F49BBACB0}</x14:id>
        </ext>
      </extLst>
    </cfRule>
  </conditionalFormatting>
  <conditionalFormatting sqref="O98">
    <cfRule type="dataBar" priority="34">
      <dataBar>
        <cfvo type="num" val="0"/>
        <cfvo type="num" val="1"/>
        <color rgb="FF00B050"/>
      </dataBar>
      <extLst>
        <ext xmlns:x14="http://schemas.microsoft.com/office/spreadsheetml/2009/9/main" uri="{B025F937-C7B1-47D3-B67F-A62EFF666E3E}">
          <x14:id>{A1C787CE-AE7B-47CA-9994-3E638C9CAF19}</x14:id>
        </ext>
      </extLst>
    </cfRule>
  </conditionalFormatting>
  <conditionalFormatting sqref="O99:O100 O115:O116 O104:O113 O121:O124 O62:O77 O102 O126:O160 O4:O10 O19:O20 O23:O57">
    <cfRule type="dataBar" priority="56">
      <dataBar>
        <cfvo type="num" val="0"/>
        <cfvo type="num" val="1"/>
        <color rgb="FF00B050"/>
      </dataBar>
      <extLst>
        <ext xmlns:x14="http://schemas.microsoft.com/office/spreadsheetml/2009/9/main" uri="{B025F937-C7B1-47D3-B67F-A62EFF666E3E}">
          <x14:id>{BBEFD125-96EB-481F-B92F-50EADABA87D1}</x14:id>
        </ext>
      </extLst>
    </cfRule>
  </conditionalFormatting>
  <conditionalFormatting sqref="O101">
    <cfRule type="dataBar" priority="23">
      <dataBar>
        <cfvo type="num" val="0"/>
        <cfvo type="num" val="1"/>
        <color rgb="FF00B050"/>
      </dataBar>
      <extLst>
        <ext xmlns:x14="http://schemas.microsoft.com/office/spreadsheetml/2009/9/main" uri="{B025F937-C7B1-47D3-B67F-A62EFF666E3E}">
          <x14:id>{554FFBFC-CED5-4A34-85C1-427E66076B17}</x14:id>
        </ext>
      </extLst>
    </cfRule>
  </conditionalFormatting>
  <conditionalFormatting sqref="O103">
    <cfRule type="dataBar" priority="32">
      <dataBar>
        <cfvo type="num" val="0"/>
        <cfvo type="num" val="1"/>
        <color rgb="FF00B050"/>
      </dataBar>
      <extLst>
        <ext xmlns:x14="http://schemas.microsoft.com/office/spreadsheetml/2009/9/main" uri="{B025F937-C7B1-47D3-B67F-A62EFF666E3E}">
          <x14:id>{84CD35FC-4AC2-46E2-8853-2802A3728113}</x14:id>
        </ext>
      </extLst>
    </cfRule>
  </conditionalFormatting>
  <conditionalFormatting sqref="O114">
    <cfRule type="dataBar" priority="33">
      <dataBar>
        <cfvo type="num" val="0"/>
        <cfvo type="num" val="1"/>
        <color rgb="FF00B050"/>
      </dataBar>
      <extLst>
        <ext xmlns:x14="http://schemas.microsoft.com/office/spreadsheetml/2009/9/main" uri="{B025F937-C7B1-47D3-B67F-A62EFF666E3E}">
          <x14:id>{5C1B1FCE-79DB-4F39-A99A-2550D0ECE760}</x14:id>
        </ext>
      </extLst>
    </cfRule>
  </conditionalFormatting>
  <conditionalFormatting sqref="O117">
    <cfRule type="dataBar" priority="22">
      <dataBar>
        <cfvo type="num" val="0"/>
        <cfvo type="num" val="1"/>
        <color rgb="FF00B050"/>
      </dataBar>
      <extLst>
        <ext xmlns:x14="http://schemas.microsoft.com/office/spreadsheetml/2009/9/main" uri="{B025F937-C7B1-47D3-B67F-A62EFF666E3E}">
          <x14:id>{03D0E88D-77C0-4E16-88D2-9B7CE0925494}</x14:id>
        </ext>
      </extLst>
    </cfRule>
  </conditionalFormatting>
  <conditionalFormatting sqref="O118">
    <cfRule type="dataBar" priority="31">
      <dataBar>
        <cfvo type="num" val="0"/>
        <cfvo type="num" val="1"/>
        <color rgb="FF00B050"/>
      </dataBar>
      <extLst>
        <ext xmlns:x14="http://schemas.microsoft.com/office/spreadsheetml/2009/9/main" uri="{B025F937-C7B1-47D3-B67F-A62EFF666E3E}">
          <x14:id>{3B9CDA5D-B048-4BFC-AB45-167F8ABB61A9}</x14:id>
        </ext>
      </extLst>
    </cfRule>
  </conditionalFormatting>
  <conditionalFormatting sqref="O119">
    <cfRule type="dataBar" priority="26">
      <dataBar>
        <cfvo type="num" val="0"/>
        <cfvo type="num" val="1"/>
        <color rgb="FF00B050"/>
      </dataBar>
      <extLst>
        <ext xmlns:x14="http://schemas.microsoft.com/office/spreadsheetml/2009/9/main" uri="{B025F937-C7B1-47D3-B67F-A62EFF666E3E}">
          <x14:id>{71A0463A-8C93-4E24-9AE1-A165F005695E}</x14:id>
        </ext>
      </extLst>
    </cfRule>
  </conditionalFormatting>
  <conditionalFormatting sqref="O120">
    <cfRule type="dataBar" priority="15">
      <dataBar>
        <cfvo type="num" val="0"/>
        <cfvo type="num" val="1"/>
        <color rgb="FF00B050"/>
      </dataBar>
      <extLst>
        <ext xmlns:x14="http://schemas.microsoft.com/office/spreadsheetml/2009/9/main" uri="{B025F937-C7B1-47D3-B67F-A62EFF666E3E}">
          <x14:id>{3AF4988D-D03F-4A52-8CFF-0028BF96F13C}</x14:id>
        </ext>
      </extLst>
    </cfRule>
  </conditionalFormatting>
  <conditionalFormatting sqref="O125">
    <cfRule type="dataBar" priority="14">
      <dataBar>
        <cfvo type="num" val="0"/>
        <cfvo type="num" val="1"/>
        <color rgb="FF00B050"/>
      </dataBar>
      <extLst>
        <ext xmlns:x14="http://schemas.microsoft.com/office/spreadsheetml/2009/9/main" uri="{B025F937-C7B1-47D3-B67F-A62EFF666E3E}">
          <x14:id>{24003F12-635A-441C-A64A-6A7CE73057B1}</x14:id>
        </ext>
      </extLst>
    </cfRule>
  </conditionalFormatting>
  <conditionalFormatting sqref="Q4:Q15 Q17:Q28 Q30:Q41 Q43:Q54 Q56:Q67 Q69:Q80 Q82:Q93 Q95:Q106 Q108:Q119 Q121:Q132 Q134:Q145 Q147:Q158 Q160">
    <cfRule type="dataBar" priority="55">
      <dataBar>
        <cfvo type="num" val="0"/>
        <cfvo type="num" val="1"/>
        <color rgb="FF00B050"/>
      </dataBar>
      <extLst>
        <ext xmlns:x14="http://schemas.microsoft.com/office/spreadsheetml/2009/9/main" uri="{B025F937-C7B1-47D3-B67F-A62EFF666E3E}">
          <x14:id>{50ABB187-E40E-4C93-954D-03B7B9B04445}</x14:id>
        </ext>
      </extLst>
    </cfRule>
  </conditionalFormatting>
  <conditionalFormatting sqref="Q29 Q16 Q42 Q55 Q68 Q81 Q94 Q107 Q120 Q133 Q146 Q159">
    <cfRule type="dataBar" priority="44">
      <dataBar>
        <cfvo type="num" val="0"/>
        <cfvo type="num" val="1"/>
        <color rgb="FF00B050"/>
      </dataBar>
      <extLst>
        <ext xmlns:x14="http://schemas.microsoft.com/office/spreadsheetml/2009/9/main" uri="{B025F937-C7B1-47D3-B67F-A62EFF666E3E}">
          <x14:id>{B25142F4-6001-4FE5-9D47-A34206026795}</x14:id>
        </ext>
      </extLst>
    </cfRule>
  </conditionalFormatting>
  <conditionalFormatting sqref="S4:S15 S17:S28 S30:S41 S43:S54 S56:S67 S69:S80 S82:S93 S95:S106 S108:S119 S121:S132 S134:S145 S147:S158 S160">
    <cfRule type="dataBar" priority="54">
      <dataBar>
        <cfvo type="num" val="0"/>
        <cfvo type="num" val="1"/>
        <color rgb="FF00B050"/>
      </dataBar>
      <extLst>
        <ext xmlns:x14="http://schemas.microsoft.com/office/spreadsheetml/2009/9/main" uri="{B025F937-C7B1-47D3-B67F-A62EFF666E3E}">
          <x14:id>{D2B31E4B-1A6E-45A5-AC28-C44F440CBEB1}</x14:id>
        </ext>
      </extLst>
    </cfRule>
  </conditionalFormatting>
  <conditionalFormatting sqref="S29 S16 S42 S55 S68 S81 S94 S107 S120 S133 S146 S159">
    <cfRule type="dataBar" priority="43">
      <dataBar>
        <cfvo type="num" val="0"/>
        <cfvo type="num" val="1"/>
        <color rgb="FF00B050"/>
      </dataBar>
      <extLst>
        <ext xmlns:x14="http://schemas.microsoft.com/office/spreadsheetml/2009/9/main" uri="{B025F937-C7B1-47D3-B67F-A62EFF666E3E}">
          <x14:id>{8A2C517C-DC08-46B7-A255-2E14F92BA736}</x14:id>
        </ext>
      </extLst>
    </cfRule>
  </conditionalFormatting>
  <conditionalFormatting sqref="U4:U15 U17:U28 U30:U41 U43:U54 U56:U67 U69:U80 U82:U93 U95:U106 U108:U119 U121:U132 U134:U145 U147:U158 U160">
    <cfRule type="dataBar" priority="53">
      <dataBar>
        <cfvo type="num" val="0"/>
        <cfvo type="num" val="1"/>
        <color rgb="FF00B050"/>
      </dataBar>
      <extLst>
        <ext xmlns:x14="http://schemas.microsoft.com/office/spreadsheetml/2009/9/main" uri="{B025F937-C7B1-47D3-B67F-A62EFF666E3E}">
          <x14:id>{C1F1667F-3149-4B5B-8A1F-7946BE9393AC}</x14:id>
        </ext>
      </extLst>
    </cfRule>
  </conditionalFormatting>
  <conditionalFormatting sqref="U29 U16 U42 U55 U68 U81 U94 U107 U120 U133 U146 U159">
    <cfRule type="dataBar" priority="42">
      <dataBar>
        <cfvo type="num" val="0"/>
        <cfvo type="num" val="1"/>
        <color rgb="FF00B050"/>
      </dataBar>
      <extLst>
        <ext xmlns:x14="http://schemas.microsoft.com/office/spreadsheetml/2009/9/main" uri="{B025F937-C7B1-47D3-B67F-A62EFF666E3E}">
          <x14:id>{FFC27F96-F0B4-4665-A21D-22BBF4AB5FBF}</x14:id>
        </ext>
      </extLst>
    </cfRule>
  </conditionalFormatting>
  <conditionalFormatting sqref="W4:W15 W17:W28 W30:W41 W43:W54 W56:W67 W69:W80 W82:W93 W95:W106 W108:W119 W121:W132 W134:W145 W147:W158 W160">
    <cfRule type="dataBar" priority="52">
      <dataBar>
        <cfvo type="num" val="0"/>
        <cfvo type="num" val="1"/>
        <color rgb="FF00B050"/>
      </dataBar>
      <extLst>
        <ext xmlns:x14="http://schemas.microsoft.com/office/spreadsheetml/2009/9/main" uri="{B025F937-C7B1-47D3-B67F-A62EFF666E3E}">
          <x14:id>{678D6A29-1C98-47EF-AA90-8E7D3F932A3E}</x14:id>
        </ext>
      </extLst>
    </cfRule>
  </conditionalFormatting>
  <conditionalFormatting sqref="W16 W29 W42 W55 W68 W81 W94 W107 W120 W133 W146 W159">
    <cfRule type="dataBar" priority="41">
      <dataBar>
        <cfvo type="num" val="0"/>
        <cfvo type="num" val="1"/>
        <color rgb="FF00B050"/>
      </dataBar>
      <extLst>
        <ext xmlns:x14="http://schemas.microsoft.com/office/spreadsheetml/2009/9/main" uri="{B025F937-C7B1-47D3-B67F-A62EFF666E3E}">
          <x14:id>{EFF56CB3-DB42-49BE-AA5F-5DC70700A133}</x14:id>
        </ext>
      </extLst>
    </cfRule>
  </conditionalFormatting>
  <conditionalFormatting sqref="Y4:Y15 Y17:Y28 Y30:Y41 Y43:Y54 Y56:Y67 Y69:Y80 Y82:Y93 Y95:Y106 Y108:Y119 Y121:Y132 Y134:Y145 Y147:Y158 Y160">
    <cfRule type="dataBar" priority="51">
      <dataBar>
        <cfvo type="num" val="0"/>
        <cfvo type="num" val="1"/>
        <color rgb="FF00B050"/>
      </dataBar>
      <extLst>
        <ext xmlns:x14="http://schemas.microsoft.com/office/spreadsheetml/2009/9/main" uri="{B025F937-C7B1-47D3-B67F-A62EFF666E3E}">
          <x14:id>{F733EDDC-9AC0-4CC5-935C-F6175C050D78}</x14:id>
        </ext>
      </extLst>
    </cfRule>
  </conditionalFormatting>
  <conditionalFormatting sqref="Y16 Y29 Y42 Y55 Y68 Y81 Y94 Y107 Y120 Y133 Y146 Y159">
    <cfRule type="dataBar" priority="40">
      <dataBar>
        <cfvo type="num" val="0"/>
        <cfvo type="num" val="1"/>
        <color rgb="FF00B050"/>
      </dataBar>
      <extLst>
        <ext xmlns:x14="http://schemas.microsoft.com/office/spreadsheetml/2009/9/main" uri="{B025F937-C7B1-47D3-B67F-A62EFF666E3E}">
          <x14:id>{B3754F7D-0F85-4821-8EB1-E52245F8C046}</x14:id>
        </ext>
      </extLst>
    </cfRule>
  </conditionalFormatting>
  <conditionalFormatting sqref="AA4:AA15 AA17:AA28 AA30:AA41 AA43:AA54 AA56:AA67 AA69:AA80 AA82:AA93 AA95:AA106 AA108:AA119 AA121:AA132 AA134:AA145 AA147:AA158 AA160">
    <cfRule type="dataBar" priority="50">
      <dataBar>
        <cfvo type="num" val="0"/>
        <cfvo type="num" val="1"/>
        <color rgb="FF00B050"/>
      </dataBar>
      <extLst>
        <ext xmlns:x14="http://schemas.microsoft.com/office/spreadsheetml/2009/9/main" uri="{B025F937-C7B1-47D3-B67F-A62EFF666E3E}">
          <x14:id>{8BE5D50B-B41B-4AA7-B77E-C5B46791AAD0}</x14:id>
        </ext>
      </extLst>
    </cfRule>
  </conditionalFormatting>
  <conditionalFormatting sqref="AA16 AA29 AA42 AA55 AA68 AA81 AA94 AA107 AA120 AA133 AA146 AA159">
    <cfRule type="dataBar" priority="39">
      <dataBar>
        <cfvo type="num" val="0"/>
        <cfvo type="num" val="1"/>
        <color rgb="FF00B050"/>
      </dataBar>
      <extLst>
        <ext xmlns:x14="http://schemas.microsoft.com/office/spreadsheetml/2009/9/main" uri="{B025F937-C7B1-47D3-B67F-A62EFF666E3E}">
          <x14:id>{2536F170-762E-4D5E-B771-39A1B8911903}</x14:id>
        </ext>
      </extLst>
    </cfRule>
  </conditionalFormatting>
  <conditionalFormatting sqref="AC4:AC15 AC17:AC28 AC30:AC41 AC43:AC54 AC56:AC67 AC69:AC80 AC82:AC93 AC95:AC106 AC108:AC119 AC121:AC132 AC134:AC145 AC147:AC158 AC160">
    <cfRule type="dataBar" priority="49">
      <dataBar>
        <cfvo type="num" val="0"/>
        <cfvo type="num" val="1"/>
        <color rgb="FF00B050"/>
      </dataBar>
      <extLst>
        <ext xmlns:x14="http://schemas.microsoft.com/office/spreadsheetml/2009/9/main" uri="{B025F937-C7B1-47D3-B67F-A62EFF666E3E}">
          <x14:id>{B4AB7F18-D0A4-422A-8DBB-1A3A7ABCA862}</x14:id>
        </ext>
      </extLst>
    </cfRule>
  </conditionalFormatting>
  <conditionalFormatting sqref="AC16 AC29 AC42 AC55 AC68 AC81 AC94 AC107 AC120 AC133 AC146 AC159">
    <cfRule type="dataBar" priority="38">
      <dataBar>
        <cfvo type="num" val="0"/>
        <cfvo type="num" val="1"/>
        <color rgb="FF00B050"/>
      </dataBar>
      <extLst>
        <ext xmlns:x14="http://schemas.microsoft.com/office/spreadsheetml/2009/9/main" uri="{B025F937-C7B1-47D3-B67F-A62EFF666E3E}">
          <x14:id>{9DE067EE-EAD6-47B4-AB7F-99D8AEA280BD}</x14:id>
        </ext>
      </extLst>
    </cfRule>
  </conditionalFormatting>
  <conditionalFormatting sqref="AD4:AD15 AD17:AD28 AD30:AD41 AD43:AD54 AD56:AD67 AD69:AD80 AD82:AD93 AD95:AD106 AD108:AD119 AD121:AD132 AD134:AD145 AD147:AD158 AD160">
    <cfRule type="dataBar" priority="48">
      <dataBar>
        <cfvo type="num" val="0"/>
        <cfvo type="num" val="1"/>
        <color rgb="FF00B050"/>
      </dataBar>
      <extLst>
        <ext xmlns:x14="http://schemas.microsoft.com/office/spreadsheetml/2009/9/main" uri="{B025F937-C7B1-47D3-B67F-A62EFF666E3E}">
          <x14:id>{F72531C5-7ECF-402E-ADD3-FBD64CFE2BED}</x14:id>
        </ext>
      </extLst>
    </cfRule>
  </conditionalFormatting>
  <conditionalFormatting sqref="AD16 AD29 AD42 AD55 AD68 AD81 AD94 AD107 AD120 AD133 AD146 AD159">
    <cfRule type="dataBar" priority="37">
      <dataBar>
        <cfvo type="num" val="0"/>
        <cfvo type="num" val="1"/>
        <color rgb="FF00B050"/>
      </dataBar>
      <extLst>
        <ext xmlns:x14="http://schemas.microsoft.com/office/spreadsheetml/2009/9/main" uri="{B025F937-C7B1-47D3-B67F-A62EFF666E3E}">
          <x14:id>{B21D00F2-6152-4FF4-8E21-E9C95597F9EF}</x14:id>
        </ext>
      </extLst>
    </cfRule>
  </conditionalFormatting>
  <conditionalFormatting sqref="AE4:AE15 AE17:AE28 AE30:AE41 AE43:AE54 AE56:AE67 AE69:AE80 AE82:AE93 AE95:AE106 AE108:AE119 AE121:AE132 AE134:AE145 AE147:AE158 AE160">
    <cfRule type="dataBar" priority="47">
      <dataBar>
        <cfvo type="num" val="0"/>
        <cfvo type="num" val="1"/>
        <color rgb="FF00B050"/>
      </dataBar>
      <extLst>
        <ext xmlns:x14="http://schemas.microsoft.com/office/spreadsheetml/2009/9/main" uri="{B025F937-C7B1-47D3-B67F-A62EFF666E3E}">
          <x14:id>{C2F96614-7C98-4784-B7CC-0351BE7214ED}</x14:id>
        </ext>
      </extLst>
    </cfRule>
  </conditionalFormatting>
  <conditionalFormatting sqref="AE16 AE29 AE42 AE55 AE68 AE81 AE94 AE107 AE120 AE133 AE146 AE159">
    <cfRule type="dataBar" priority="36">
      <dataBar>
        <cfvo type="num" val="0"/>
        <cfvo type="num" val="1"/>
        <color rgb="FF00B050"/>
      </dataBar>
      <extLst>
        <ext xmlns:x14="http://schemas.microsoft.com/office/spreadsheetml/2009/9/main" uri="{B025F937-C7B1-47D3-B67F-A62EFF666E3E}">
          <x14:id>{91B27E53-2FD4-4022-A397-8BEFA7C335CD}</x14:id>
        </ext>
      </extLst>
    </cfRule>
  </conditionalFormatting>
  <pageMargins left="0.69930555555555596" right="0.69930555555555596"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8C509795-7650-4A1B-B1D1-E5279737A42B}">
            <x14:dataBar minLength="0" maxLength="100" negativeBarColorSameAsPositive="1" axisPosition="none">
              <x14:cfvo type="num">
                <xm:f>0</xm:f>
              </x14:cfvo>
              <x14:cfvo type="num">
                <xm:f>1</xm:f>
              </x14:cfvo>
            </x14:dataBar>
          </x14:cfRule>
          <xm:sqref>L4:L15</xm:sqref>
        </x14:conditionalFormatting>
        <x14:conditionalFormatting xmlns:xm="http://schemas.microsoft.com/office/excel/2006/main">
          <x14:cfRule type="dataBar" id="{F6B206C6-4088-48B0-BFEF-94E7397EFFA1}">
            <x14:dataBar minLength="0" maxLength="100" negativeBarColorSameAsPositive="1" axisPosition="none">
              <x14:cfvo type="num">
                <xm:f>0</xm:f>
              </x14:cfvo>
              <x14:cfvo type="num">
                <xm:f>1</xm:f>
              </x14:cfvo>
            </x14:dataBar>
          </x14:cfRule>
          <xm:sqref>L16:L160</xm:sqref>
        </x14:conditionalFormatting>
        <x14:conditionalFormatting xmlns:xm="http://schemas.microsoft.com/office/excel/2006/main">
          <x14:cfRule type="dataBar" id="{FCD6D948-6963-478C-A753-F17FFD6070E7}">
            <x14:dataBar minLength="0" maxLength="100" negativeBarColorSameAsPositive="1" axisPosition="none">
              <x14:cfvo type="num">
                <xm:f>0</xm:f>
              </x14:cfvo>
              <x14:cfvo type="num">
                <xm:f>1</xm:f>
              </x14:cfvo>
            </x14:dataBar>
          </x14:cfRule>
          <xm:sqref>O11</xm:sqref>
        </x14:conditionalFormatting>
        <x14:conditionalFormatting xmlns:xm="http://schemas.microsoft.com/office/excel/2006/main">
          <x14:cfRule type="dataBar" id="{CDEE1C01-324B-4949-9E2A-DB0881A37327}">
            <x14:dataBar minLength="0" maxLength="100" negativeBarColorSameAsPositive="1" axisPosition="none">
              <x14:cfvo type="num">
                <xm:f>0</xm:f>
              </x14:cfvo>
              <x14:cfvo type="num">
                <xm:f>1</xm:f>
              </x14:cfvo>
            </x14:dataBar>
          </x14:cfRule>
          <xm:sqref>O12:O18</xm:sqref>
        </x14:conditionalFormatting>
        <x14:conditionalFormatting xmlns:xm="http://schemas.microsoft.com/office/excel/2006/main">
          <x14:cfRule type="dataBar" id="{47D329F0-E028-4419-ABDB-61B905574951}">
            <x14:dataBar minLength="0" maxLength="100" negativeBarColorSameAsPositive="1" axisPosition="none">
              <x14:cfvo type="num">
                <xm:f>0</xm:f>
              </x14:cfvo>
              <x14:cfvo type="num">
                <xm:f>1</xm:f>
              </x14:cfvo>
            </x14:dataBar>
          </x14:cfRule>
          <xm:sqref>O21:O22</xm:sqref>
        </x14:conditionalFormatting>
        <x14:conditionalFormatting xmlns:xm="http://schemas.microsoft.com/office/excel/2006/main">
          <x14:cfRule type="dataBar" id="{EA1A8DF4-3251-4C6A-BBEB-BE3960E5532E}">
            <x14:dataBar minLength="0" maxLength="100" negativeBarColorSameAsPositive="1" axisPosition="none">
              <x14:cfvo type="num">
                <xm:f>0</xm:f>
              </x14:cfvo>
              <x14:cfvo type="num">
                <xm:f>1</xm:f>
              </x14:cfvo>
            </x14:dataBar>
          </x14:cfRule>
          <xm:sqref>O58:O59</xm:sqref>
        </x14:conditionalFormatting>
        <x14:conditionalFormatting xmlns:xm="http://schemas.microsoft.com/office/excel/2006/main">
          <x14:cfRule type="dataBar" id="{F8D9E43B-45BD-49CF-B558-7E57E64E50A4}">
            <x14:dataBar minLength="0" maxLength="100" negativeBarColorSameAsPositive="1" axisPosition="none">
              <x14:cfvo type="num">
                <xm:f>0</xm:f>
              </x14:cfvo>
              <x14:cfvo type="num">
                <xm:f>1</xm:f>
              </x14:cfvo>
            </x14:dataBar>
          </x14:cfRule>
          <xm:sqref>O60:O61</xm:sqref>
        </x14:conditionalFormatting>
        <x14:conditionalFormatting xmlns:xm="http://schemas.microsoft.com/office/excel/2006/main">
          <x14:cfRule type="dataBar" id="{A8E961C5-57A7-4B2A-9398-24DEDF29168F}">
            <x14:dataBar minLength="0" maxLength="100" negativeBarColorSameAsPositive="1" axisPosition="none">
              <x14:cfvo type="num">
                <xm:f>0</xm:f>
              </x14:cfvo>
              <x14:cfvo type="num">
                <xm:f>1</xm:f>
              </x14:cfvo>
            </x14:dataBar>
          </x14:cfRule>
          <xm:sqref>O78</xm:sqref>
        </x14:conditionalFormatting>
        <x14:conditionalFormatting xmlns:xm="http://schemas.microsoft.com/office/excel/2006/main">
          <x14:cfRule type="dataBar" id="{FC2BEA72-D2E8-4867-B370-9FAFCFA835F7}">
            <x14:dataBar minLength="0" maxLength="100" negativeBarColorSameAsPositive="1" axisPosition="none">
              <x14:cfvo type="num">
                <xm:f>0</xm:f>
              </x14:cfvo>
              <x14:cfvo type="num">
                <xm:f>1</xm:f>
              </x14:cfvo>
            </x14:dataBar>
          </x14:cfRule>
          <xm:sqref>O79</xm:sqref>
        </x14:conditionalFormatting>
        <x14:conditionalFormatting xmlns:xm="http://schemas.microsoft.com/office/excel/2006/main">
          <x14:cfRule type="dataBar" id="{7F918CAB-6B92-4FB3-BD96-5593A202621F}">
            <x14:dataBar minLength="0" maxLength="100" negativeBarColorSameAsPositive="1" axisPosition="none">
              <x14:cfvo type="num">
                <xm:f>0</xm:f>
              </x14:cfvo>
              <x14:cfvo type="num">
                <xm:f>1</xm:f>
              </x14:cfvo>
            </x14:dataBar>
          </x14:cfRule>
          <xm:sqref>O80</xm:sqref>
        </x14:conditionalFormatting>
        <x14:conditionalFormatting xmlns:xm="http://schemas.microsoft.com/office/excel/2006/main">
          <x14:cfRule type="dataBar" id="{2BA242D6-126E-45E6-B0B3-F54294DA811A}">
            <x14:dataBar minLength="0" maxLength="100" negativeBarColorSameAsPositive="1" axisPosition="none">
              <x14:cfvo type="num">
                <xm:f>0</xm:f>
              </x14:cfvo>
              <x14:cfvo type="num">
                <xm:f>1</xm:f>
              </x14:cfvo>
            </x14:dataBar>
          </x14:cfRule>
          <xm:sqref>O81</xm:sqref>
        </x14:conditionalFormatting>
        <x14:conditionalFormatting xmlns:xm="http://schemas.microsoft.com/office/excel/2006/main">
          <x14:cfRule type="dataBar" id="{4DF483ED-CE3D-4CA3-B9A2-C4043C3C5929}">
            <x14:dataBar minLength="0" maxLength="100" negativeBarColorSameAsPositive="1" axisPosition="none">
              <x14:cfvo type="num">
                <xm:f>0</xm:f>
              </x14:cfvo>
              <x14:cfvo type="num">
                <xm:f>1</xm:f>
              </x14:cfvo>
            </x14:dataBar>
          </x14:cfRule>
          <xm:sqref>O82</xm:sqref>
        </x14:conditionalFormatting>
        <x14:conditionalFormatting xmlns:xm="http://schemas.microsoft.com/office/excel/2006/main">
          <x14:cfRule type="dataBar" id="{0BDA7497-ADC2-4887-BA85-18BB1422350D}">
            <x14:dataBar minLength="0" maxLength="100" negativeBarColorSameAsPositive="1" axisPosition="none">
              <x14:cfvo type="num">
                <xm:f>0</xm:f>
              </x14:cfvo>
              <x14:cfvo type="num">
                <xm:f>1</xm:f>
              </x14:cfvo>
            </x14:dataBar>
          </x14:cfRule>
          <xm:sqref>O83</xm:sqref>
        </x14:conditionalFormatting>
        <x14:conditionalFormatting xmlns:xm="http://schemas.microsoft.com/office/excel/2006/main">
          <x14:cfRule type="dataBar" id="{DB1778AB-8025-44A8-8BE7-CA3BB0048E98}">
            <x14:dataBar minLength="0" maxLength="100" negativeBarColorSameAsPositive="1" axisPosition="none">
              <x14:cfvo type="num">
                <xm:f>0</xm:f>
              </x14:cfvo>
              <x14:cfvo type="num">
                <xm:f>1</xm:f>
              </x14:cfvo>
            </x14:dataBar>
          </x14:cfRule>
          <xm:sqref>O84</xm:sqref>
        </x14:conditionalFormatting>
        <x14:conditionalFormatting xmlns:xm="http://schemas.microsoft.com/office/excel/2006/main">
          <x14:cfRule type="dataBar" id="{81F4DDD1-B370-43C7-BCEF-120C23D00B60}">
            <x14:dataBar minLength="0" maxLength="100" negativeBarColorSameAsPositive="1" axisPosition="none">
              <x14:cfvo type="num">
                <xm:f>0</xm:f>
              </x14:cfvo>
              <x14:cfvo type="num">
                <xm:f>1</xm:f>
              </x14:cfvo>
            </x14:dataBar>
          </x14:cfRule>
          <xm:sqref>O85</xm:sqref>
        </x14:conditionalFormatting>
        <x14:conditionalFormatting xmlns:xm="http://schemas.microsoft.com/office/excel/2006/main">
          <x14:cfRule type="dataBar" id="{AA446EA0-1EDB-4FE6-AC8C-0664E2F282F7}">
            <x14:dataBar minLength="0" maxLength="100" negativeBarColorSameAsPositive="1" axisPosition="none">
              <x14:cfvo type="num">
                <xm:f>0</xm:f>
              </x14:cfvo>
              <x14:cfvo type="num">
                <xm:f>1</xm:f>
              </x14:cfvo>
            </x14:dataBar>
          </x14:cfRule>
          <xm:sqref>O86</xm:sqref>
        </x14:conditionalFormatting>
        <x14:conditionalFormatting xmlns:xm="http://schemas.microsoft.com/office/excel/2006/main">
          <x14:cfRule type="dataBar" id="{F7AB994F-4D73-4DF2-951F-5FCCC1A61CD1}">
            <x14:dataBar minLength="0" maxLength="100" negativeBarColorSameAsPositive="1" axisPosition="none">
              <x14:cfvo type="num">
                <xm:f>0</xm:f>
              </x14:cfvo>
              <x14:cfvo type="num">
                <xm:f>1</xm:f>
              </x14:cfvo>
            </x14:dataBar>
          </x14:cfRule>
          <xm:sqref>O87</xm:sqref>
        </x14:conditionalFormatting>
        <x14:conditionalFormatting xmlns:xm="http://schemas.microsoft.com/office/excel/2006/main">
          <x14:cfRule type="dataBar" id="{1E07C7A8-2D3A-4749-BCF0-B30956E239B5}">
            <x14:dataBar minLength="0" maxLength="100" negativeBarColorSameAsPositive="1" axisPosition="none">
              <x14:cfvo type="num">
                <xm:f>0</xm:f>
              </x14:cfvo>
              <x14:cfvo type="num">
                <xm:f>1</xm:f>
              </x14:cfvo>
            </x14:dataBar>
          </x14:cfRule>
          <xm:sqref>O88</xm:sqref>
        </x14:conditionalFormatting>
        <x14:conditionalFormatting xmlns:xm="http://schemas.microsoft.com/office/excel/2006/main">
          <x14:cfRule type="dataBar" id="{2B8BA41F-BF48-4893-ABEF-80F66F08F420}">
            <x14:dataBar minLength="0" maxLength="100" negativeBarColorSameAsPositive="1" axisPosition="none">
              <x14:cfvo type="num">
                <xm:f>0</xm:f>
              </x14:cfvo>
              <x14:cfvo type="num">
                <xm:f>1</xm:f>
              </x14:cfvo>
            </x14:dataBar>
          </x14:cfRule>
          <xm:sqref>O89:O90</xm:sqref>
        </x14:conditionalFormatting>
        <x14:conditionalFormatting xmlns:xm="http://schemas.microsoft.com/office/excel/2006/main">
          <x14:cfRule type="dataBar" id="{9833B729-1A0D-4C30-9CC6-1719C5C08B43}">
            <x14:dataBar minLength="0" maxLength="100" negativeBarColorSameAsPositive="1" axisPosition="none">
              <x14:cfvo type="num">
                <xm:f>0</xm:f>
              </x14:cfvo>
              <x14:cfvo type="num">
                <xm:f>1</xm:f>
              </x14:cfvo>
            </x14:dataBar>
          </x14:cfRule>
          <xm:sqref>O91</xm:sqref>
        </x14:conditionalFormatting>
        <x14:conditionalFormatting xmlns:xm="http://schemas.microsoft.com/office/excel/2006/main">
          <x14:cfRule type="dataBar" id="{5AC90ADC-7789-4B79-9062-D5B42C7379C7}">
            <x14:dataBar minLength="0" maxLength="100" negativeBarColorSameAsPositive="1" axisPosition="none">
              <x14:cfvo type="num">
                <xm:f>0</xm:f>
              </x14:cfvo>
              <x14:cfvo type="num">
                <xm:f>1</xm:f>
              </x14:cfvo>
            </x14:dataBar>
          </x14:cfRule>
          <xm:sqref>O92</xm:sqref>
        </x14:conditionalFormatting>
        <x14:conditionalFormatting xmlns:xm="http://schemas.microsoft.com/office/excel/2006/main">
          <x14:cfRule type="dataBar" id="{561736CA-CCFD-4BD8-BBDC-3F9DC43790E0}">
            <x14:dataBar minLength="0" maxLength="100" negativeBarColorSameAsPositive="1" axisPosition="none">
              <x14:cfvo type="num">
                <xm:f>0</xm:f>
              </x14:cfvo>
              <x14:cfvo type="num">
                <xm:f>1</xm:f>
              </x14:cfvo>
            </x14:dataBar>
          </x14:cfRule>
          <xm:sqref>O93</xm:sqref>
        </x14:conditionalFormatting>
        <x14:conditionalFormatting xmlns:xm="http://schemas.microsoft.com/office/excel/2006/main">
          <x14:cfRule type="dataBar" id="{FE604734-7E77-4E7C-B2C3-BF49DCFD3A9B}">
            <x14:dataBar minLength="0" maxLength="100" negativeBarColorSameAsPositive="1" axisPosition="none">
              <x14:cfvo type="num">
                <xm:f>0</xm:f>
              </x14:cfvo>
              <x14:cfvo type="num">
                <xm:f>1</xm:f>
              </x14:cfvo>
            </x14:dataBar>
          </x14:cfRule>
          <xm:sqref>O94</xm:sqref>
        </x14:conditionalFormatting>
        <x14:conditionalFormatting xmlns:xm="http://schemas.microsoft.com/office/excel/2006/main">
          <x14:cfRule type="dataBar" id="{7C5B9B67-4E8F-4E08-BD2A-A6F84F429A42}">
            <x14:dataBar minLength="0" maxLength="100" negativeBarColorSameAsPositive="1" axisPosition="none">
              <x14:cfvo type="num">
                <xm:f>0</xm:f>
              </x14:cfvo>
              <x14:cfvo type="num">
                <xm:f>1</xm:f>
              </x14:cfvo>
            </x14:dataBar>
          </x14:cfRule>
          <xm:sqref>O95</xm:sqref>
        </x14:conditionalFormatting>
        <x14:conditionalFormatting xmlns:xm="http://schemas.microsoft.com/office/excel/2006/main">
          <x14:cfRule type="dataBar" id="{2C53D0DE-BBC3-4C33-865E-04DB1D8A2000}">
            <x14:dataBar minLength="0" maxLength="100" negativeBarColorSameAsPositive="1" axisPosition="none">
              <x14:cfvo type="num">
                <xm:f>0</xm:f>
              </x14:cfvo>
              <x14:cfvo type="num">
                <xm:f>1</xm:f>
              </x14:cfvo>
            </x14:dataBar>
          </x14:cfRule>
          <xm:sqref>O96</xm:sqref>
        </x14:conditionalFormatting>
        <x14:conditionalFormatting xmlns:xm="http://schemas.microsoft.com/office/excel/2006/main">
          <x14:cfRule type="dataBar" id="{4EF93F00-C903-45AD-98AB-F83F49BBACB0}">
            <x14:dataBar minLength="0" maxLength="100" negativeBarColorSameAsPositive="1" axisPosition="none">
              <x14:cfvo type="num">
                <xm:f>0</xm:f>
              </x14:cfvo>
              <x14:cfvo type="num">
                <xm:f>1</xm:f>
              </x14:cfvo>
            </x14:dataBar>
          </x14:cfRule>
          <xm:sqref>O97</xm:sqref>
        </x14:conditionalFormatting>
        <x14:conditionalFormatting xmlns:xm="http://schemas.microsoft.com/office/excel/2006/main">
          <x14:cfRule type="dataBar" id="{A1C787CE-AE7B-47CA-9994-3E638C9CAF19}">
            <x14:dataBar minLength="0" maxLength="100" negativeBarColorSameAsPositive="1" axisPosition="none">
              <x14:cfvo type="num">
                <xm:f>0</xm:f>
              </x14:cfvo>
              <x14:cfvo type="num">
                <xm:f>1</xm:f>
              </x14:cfvo>
            </x14:dataBar>
          </x14:cfRule>
          <xm:sqref>O98</xm:sqref>
        </x14:conditionalFormatting>
        <x14:conditionalFormatting xmlns:xm="http://schemas.microsoft.com/office/excel/2006/main">
          <x14:cfRule type="dataBar" id="{BBEFD125-96EB-481F-B92F-50EADABA87D1}">
            <x14:dataBar minLength="0" maxLength="100" negativeBarColorSameAsPositive="1" axisPosition="none">
              <x14:cfvo type="num">
                <xm:f>0</xm:f>
              </x14:cfvo>
              <x14:cfvo type="num">
                <xm:f>1</xm:f>
              </x14:cfvo>
            </x14:dataBar>
          </x14:cfRule>
          <xm:sqref>O99:O100 O115:O116 O104:O113 O121:O124 O62:O77 O102 O126:O160 O4:O10 O19:O20 O23:O57</xm:sqref>
        </x14:conditionalFormatting>
        <x14:conditionalFormatting xmlns:xm="http://schemas.microsoft.com/office/excel/2006/main">
          <x14:cfRule type="dataBar" id="{554FFBFC-CED5-4A34-85C1-427E66076B17}">
            <x14:dataBar minLength="0" maxLength="100" negativeBarColorSameAsPositive="1" axisPosition="none">
              <x14:cfvo type="num">
                <xm:f>0</xm:f>
              </x14:cfvo>
              <x14:cfvo type="num">
                <xm:f>1</xm:f>
              </x14:cfvo>
            </x14:dataBar>
          </x14:cfRule>
          <xm:sqref>O101</xm:sqref>
        </x14:conditionalFormatting>
        <x14:conditionalFormatting xmlns:xm="http://schemas.microsoft.com/office/excel/2006/main">
          <x14:cfRule type="dataBar" id="{84CD35FC-4AC2-46E2-8853-2802A3728113}">
            <x14:dataBar minLength="0" maxLength="100" negativeBarColorSameAsPositive="1" axisPosition="none">
              <x14:cfvo type="num">
                <xm:f>0</xm:f>
              </x14:cfvo>
              <x14:cfvo type="num">
                <xm:f>1</xm:f>
              </x14:cfvo>
            </x14:dataBar>
          </x14:cfRule>
          <xm:sqref>O103</xm:sqref>
        </x14:conditionalFormatting>
        <x14:conditionalFormatting xmlns:xm="http://schemas.microsoft.com/office/excel/2006/main">
          <x14:cfRule type="dataBar" id="{5C1B1FCE-79DB-4F39-A99A-2550D0ECE760}">
            <x14:dataBar minLength="0" maxLength="100" negativeBarColorSameAsPositive="1" axisPosition="none">
              <x14:cfvo type="num">
                <xm:f>0</xm:f>
              </x14:cfvo>
              <x14:cfvo type="num">
                <xm:f>1</xm:f>
              </x14:cfvo>
            </x14:dataBar>
          </x14:cfRule>
          <xm:sqref>O114</xm:sqref>
        </x14:conditionalFormatting>
        <x14:conditionalFormatting xmlns:xm="http://schemas.microsoft.com/office/excel/2006/main">
          <x14:cfRule type="dataBar" id="{03D0E88D-77C0-4E16-88D2-9B7CE0925494}">
            <x14:dataBar minLength="0" maxLength="100" negativeBarColorSameAsPositive="1" axisPosition="none">
              <x14:cfvo type="num">
                <xm:f>0</xm:f>
              </x14:cfvo>
              <x14:cfvo type="num">
                <xm:f>1</xm:f>
              </x14:cfvo>
            </x14:dataBar>
          </x14:cfRule>
          <xm:sqref>O117</xm:sqref>
        </x14:conditionalFormatting>
        <x14:conditionalFormatting xmlns:xm="http://schemas.microsoft.com/office/excel/2006/main">
          <x14:cfRule type="dataBar" id="{3B9CDA5D-B048-4BFC-AB45-167F8ABB61A9}">
            <x14:dataBar minLength="0" maxLength="100" negativeBarColorSameAsPositive="1" axisPosition="none">
              <x14:cfvo type="num">
                <xm:f>0</xm:f>
              </x14:cfvo>
              <x14:cfvo type="num">
                <xm:f>1</xm:f>
              </x14:cfvo>
            </x14:dataBar>
          </x14:cfRule>
          <xm:sqref>O118</xm:sqref>
        </x14:conditionalFormatting>
        <x14:conditionalFormatting xmlns:xm="http://schemas.microsoft.com/office/excel/2006/main">
          <x14:cfRule type="dataBar" id="{71A0463A-8C93-4E24-9AE1-A165F005695E}">
            <x14:dataBar minLength="0" maxLength="100" negativeBarColorSameAsPositive="1" axisPosition="none">
              <x14:cfvo type="num">
                <xm:f>0</xm:f>
              </x14:cfvo>
              <x14:cfvo type="num">
                <xm:f>1</xm:f>
              </x14:cfvo>
            </x14:dataBar>
          </x14:cfRule>
          <xm:sqref>O119</xm:sqref>
        </x14:conditionalFormatting>
        <x14:conditionalFormatting xmlns:xm="http://schemas.microsoft.com/office/excel/2006/main">
          <x14:cfRule type="dataBar" id="{3AF4988D-D03F-4A52-8CFF-0028BF96F13C}">
            <x14:dataBar minLength="0" maxLength="100" negativeBarColorSameAsPositive="1" axisPosition="none">
              <x14:cfvo type="num">
                <xm:f>0</xm:f>
              </x14:cfvo>
              <x14:cfvo type="num">
                <xm:f>1</xm:f>
              </x14:cfvo>
            </x14:dataBar>
          </x14:cfRule>
          <xm:sqref>O120</xm:sqref>
        </x14:conditionalFormatting>
        <x14:conditionalFormatting xmlns:xm="http://schemas.microsoft.com/office/excel/2006/main">
          <x14:cfRule type="dataBar" id="{24003F12-635A-441C-A64A-6A7CE73057B1}">
            <x14:dataBar minLength="0" maxLength="100" negativeBarColorSameAsPositive="1" axisPosition="none">
              <x14:cfvo type="num">
                <xm:f>0</xm:f>
              </x14:cfvo>
              <x14:cfvo type="num">
                <xm:f>1</xm:f>
              </x14:cfvo>
            </x14:dataBar>
          </x14:cfRule>
          <xm:sqref>O125</xm:sqref>
        </x14:conditionalFormatting>
        <x14:conditionalFormatting xmlns:xm="http://schemas.microsoft.com/office/excel/2006/main">
          <x14:cfRule type="dataBar" id="{50ABB187-E40E-4C93-954D-03B7B9B04445}">
            <x14:dataBar minLength="0" maxLength="100" negativeBarColorSameAsPositive="1" axisPosition="none">
              <x14:cfvo type="num">
                <xm:f>0</xm:f>
              </x14:cfvo>
              <x14:cfvo type="num">
                <xm:f>1</xm:f>
              </x14:cfvo>
            </x14:dataBar>
          </x14:cfRule>
          <xm:sqref>Q4:Q15 Q17:Q28 Q30:Q41 Q43:Q54 Q56:Q67 Q69:Q80 Q82:Q93 Q95:Q106 Q108:Q119 Q121:Q132 Q134:Q145 Q147:Q158 Q160</xm:sqref>
        </x14:conditionalFormatting>
        <x14:conditionalFormatting xmlns:xm="http://schemas.microsoft.com/office/excel/2006/main">
          <x14:cfRule type="dataBar" id="{B25142F4-6001-4FE5-9D47-A34206026795}">
            <x14:dataBar minLength="0" maxLength="100" negativeBarColorSameAsPositive="1" axisPosition="none">
              <x14:cfvo type="num">
                <xm:f>0</xm:f>
              </x14:cfvo>
              <x14:cfvo type="num">
                <xm:f>1</xm:f>
              </x14:cfvo>
            </x14:dataBar>
          </x14:cfRule>
          <xm:sqref>Q29 Q16 Q42 Q55 Q68 Q81 Q94 Q107 Q120 Q133 Q146 Q159</xm:sqref>
        </x14:conditionalFormatting>
        <x14:conditionalFormatting xmlns:xm="http://schemas.microsoft.com/office/excel/2006/main">
          <x14:cfRule type="dataBar" id="{D2B31E4B-1A6E-45A5-AC28-C44F440CBEB1}">
            <x14:dataBar minLength="0" maxLength="100" negativeBarColorSameAsPositive="1" axisPosition="none">
              <x14:cfvo type="num">
                <xm:f>0</xm:f>
              </x14:cfvo>
              <x14:cfvo type="num">
                <xm:f>1</xm:f>
              </x14:cfvo>
            </x14:dataBar>
          </x14:cfRule>
          <xm:sqref>S4:S15 S17:S28 S30:S41 S43:S54 S56:S67 S69:S80 S82:S93 S95:S106 S108:S119 S121:S132 S134:S145 S147:S158 S160</xm:sqref>
        </x14:conditionalFormatting>
        <x14:conditionalFormatting xmlns:xm="http://schemas.microsoft.com/office/excel/2006/main">
          <x14:cfRule type="dataBar" id="{8A2C517C-DC08-46B7-A255-2E14F92BA736}">
            <x14:dataBar minLength="0" maxLength="100" negativeBarColorSameAsPositive="1" axisPosition="none">
              <x14:cfvo type="num">
                <xm:f>0</xm:f>
              </x14:cfvo>
              <x14:cfvo type="num">
                <xm:f>1</xm:f>
              </x14:cfvo>
            </x14:dataBar>
          </x14:cfRule>
          <xm:sqref>S29 S16 S42 S55 S68 S81 S94 S107 S120 S133 S146 S159</xm:sqref>
        </x14:conditionalFormatting>
        <x14:conditionalFormatting xmlns:xm="http://schemas.microsoft.com/office/excel/2006/main">
          <x14:cfRule type="dataBar" id="{C1F1667F-3149-4B5B-8A1F-7946BE9393AC}">
            <x14:dataBar minLength="0" maxLength="100" negativeBarColorSameAsPositive="1" axisPosition="none">
              <x14:cfvo type="num">
                <xm:f>0</xm:f>
              </x14:cfvo>
              <x14:cfvo type="num">
                <xm:f>1</xm:f>
              </x14:cfvo>
            </x14:dataBar>
          </x14:cfRule>
          <xm:sqref>U4:U15 U17:U28 U30:U41 U43:U54 U56:U67 U69:U80 U82:U93 U95:U106 U108:U119 U121:U132 U134:U145 U147:U158 U160</xm:sqref>
        </x14:conditionalFormatting>
        <x14:conditionalFormatting xmlns:xm="http://schemas.microsoft.com/office/excel/2006/main">
          <x14:cfRule type="dataBar" id="{FFC27F96-F0B4-4665-A21D-22BBF4AB5FBF}">
            <x14:dataBar minLength="0" maxLength="100" negativeBarColorSameAsPositive="1" axisPosition="none">
              <x14:cfvo type="num">
                <xm:f>0</xm:f>
              </x14:cfvo>
              <x14:cfvo type="num">
                <xm:f>1</xm:f>
              </x14:cfvo>
            </x14:dataBar>
          </x14:cfRule>
          <xm:sqref>U29 U16 U42 U55 U68 U81 U94 U107 U120 U133 U146 U159</xm:sqref>
        </x14:conditionalFormatting>
        <x14:conditionalFormatting xmlns:xm="http://schemas.microsoft.com/office/excel/2006/main">
          <x14:cfRule type="dataBar" id="{678D6A29-1C98-47EF-AA90-8E7D3F932A3E}">
            <x14:dataBar minLength="0" maxLength="100" negativeBarColorSameAsPositive="1" axisPosition="none">
              <x14:cfvo type="num">
                <xm:f>0</xm:f>
              </x14:cfvo>
              <x14:cfvo type="num">
                <xm:f>1</xm:f>
              </x14:cfvo>
            </x14:dataBar>
          </x14:cfRule>
          <xm:sqref>W4:W15 W17:W28 W30:W41 W43:W54 W56:W67 W69:W80 W82:W93 W95:W106 W108:W119 W121:W132 W134:W145 W147:W158 W160</xm:sqref>
        </x14:conditionalFormatting>
        <x14:conditionalFormatting xmlns:xm="http://schemas.microsoft.com/office/excel/2006/main">
          <x14:cfRule type="dataBar" id="{EFF56CB3-DB42-49BE-AA5F-5DC70700A133}">
            <x14:dataBar minLength="0" maxLength="100" negativeBarColorSameAsPositive="1" axisPosition="none">
              <x14:cfvo type="num">
                <xm:f>0</xm:f>
              </x14:cfvo>
              <x14:cfvo type="num">
                <xm:f>1</xm:f>
              </x14:cfvo>
            </x14:dataBar>
          </x14:cfRule>
          <xm:sqref>W16 W29 W42 W55 W68 W81 W94 W107 W120 W133 W146 W159</xm:sqref>
        </x14:conditionalFormatting>
        <x14:conditionalFormatting xmlns:xm="http://schemas.microsoft.com/office/excel/2006/main">
          <x14:cfRule type="dataBar" id="{F733EDDC-9AC0-4CC5-935C-F6175C050D78}">
            <x14:dataBar minLength="0" maxLength="100" negativeBarColorSameAsPositive="1" axisPosition="none">
              <x14:cfvo type="num">
                <xm:f>0</xm:f>
              </x14:cfvo>
              <x14:cfvo type="num">
                <xm:f>1</xm:f>
              </x14:cfvo>
            </x14:dataBar>
          </x14:cfRule>
          <xm:sqref>Y4:Y15 Y17:Y28 Y30:Y41 Y43:Y54 Y56:Y67 Y69:Y80 Y82:Y93 Y95:Y106 Y108:Y119 Y121:Y132 Y134:Y145 Y147:Y158 Y160</xm:sqref>
        </x14:conditionalFormatting>
        <x14:conditionalFormatting xmlns:xm="http://schemas.microsoft.com/office/excel/2006/main">
          <x14:cfRule type="dataBar" id="{B3754F7D-0F85-4821-8EB1-E52245F8C046}">
            <x14:dataBar minLength="0" maxLength="100" negativeBarColorSameAsPositive="1" axisPosition="none">
              <x14:cfvo type="num">
                <xm:f>0</xm:f>
              </x14:cfvo>
              <x14:cfvo type="num">
                <xm:f>1</xm:f>
              </x14:cfvo>
            </x14:dataBar>
          </x14:cfRule>
          <xm:sqref>Y16 Y29 Y42 Y55 Y68 Y81 Y94 Y107 Y120 Y133 Y146 Y159</xm:sqref>
        </x14:conditionalFormatting>
        <x14:conditionalFormatting xmlns:xm="http://schemas.microsoft.com/office/excel/2006/main">
          <x14:cfRule type="dataBar" id="{8BE5D50B-B41B-4AA7-B77E-C5B46791AAD0}">
            <x14:dataBar minLength="0" maxLength="100" negativeBarColorSameAsPositive="1" axisPosition="none">
              <x14:cfvo type="num">
                <xm:f>0</xm:f>
              </x14:cfvo>
              <x14:cfvo type="num">
                <xm:f>1</xm:f>
              </x14:cfvo>
            </x14:dataBar>
          </x14:cfRule>
          <xm:sqref>AA4:AA15 AA17:AA28 AA30:AA41 AA43:AA54 AA56:AA67 AA69:AA80 AA82:AA93 AA95:AA106 AA108:AA119 AA121:AA132 AA134:AA145 AA147:AA158 AA160</xm:sqref>
        </x14:conditionalFormatting>
        <x14:conditionalFormatting xmlns:xm="http://schemas.microsoft.com/office/excel/2006/main">
          <x14:cfRule type="dataBar" id="{2536F170-762E-4D5E-B771-39A1B8911903}">
            <x14:dataBar minLength="0" maxLength="100" negativeBarColorSameAsPositive="1" axisPosition="none">
              <x14:cfvo type="num">
                <xm:f>0</xm:f>
              </x14:cfvo>
              <x14:cfvo type="num">
                <xm:f>1</xm:f>
              </x14:cfvo>
            </x14:dataBar>
          </x14:cfRule>
          <xm:sqref>AA16 AA29 AA42 AA55 AA68 AA81 AA94 AA107 AA120 AA133 AA146 AA159</xm:sqref>
        </x14:conditionalFormatting>
        <x14:conditionalFormatting xmlns:xm="http://schemas.microsoft.com/office/excel/2006/main">
          <x14:cfRule type="dataBar" id="{B4AB7F18-D0A4-422A-8DBB-1A3A7ABCA862}">
            <x14:dataBar minLength="0" maxLength="100" negativeBarColorSameAsPositive="1" axisPosition="none">
              <x14:cfvo type="num">
                <xm:f>0</xm:f>
              </x14:cfvo>
              <x14:cfvo type="num">
                <xm:f>1</xm:f>
              </x14:cfvo>
            </x14:dataBar>
          </x14:cfRule>
          <xm:sqref>AC4:AC15 AC17:AC28 AC30:AC41 AC43:AC54 AC56:AC67 AC69:AC80 AC82:AC93 AC95:AC106 AC108:AC119 AC121:AC132 AC134:AC145 AC147:AC158 AC160</xm:sqref>
        </x14:conditionalFormatting>
        <x14:conditionalFormatting xmlns:xm="http://schemas.microsoft.com/office/excel/2006/main">
          <x14:cfRule type="dataBar" id="{9DE067EE-EAD6-47B4-AB7F-99D8AEA280BD}">
            <x14:dataBar minLength="0" maxLength="100" negativeBarColorSameAsPositive="1" axisPosition="none">
              <x14:cfvo type="num">
                <xm:f>0</xm:f>
              </x14:cfvo>
              <x14:cfvo type="num">
                <xm:f>1</xm:f>
              </x14:cfvo>
            </x14:dataBar>
          </x14:cfRule>
          <xm:sqref>AC16 AC29 AC42 AC55 AC68 AC81 AC94 AC107 AC120 AC133 AC146 AC159</xm:sqref>
        </x14:conditionalFormatting>
        <x14:conditionalFormatting xmlns:xm="http://schemas.microsoft.com/office/excel/2006/main">
          <x14:cfRule type="dataBar" id="{F72531C5-7ECF-402E-ADD3-FBD64CFE2BED}">
            <x14:dataBar minLength="0" maxLength="100" negativeBarColorSameAsPositive="1" axisPosition="none">
              <x14:cfvo type="num">
                <xm:f>0</xm:f>
              </x14:cfvo>
              <x14:cfvo type="num">
                <xm:f>1</xm:f>
              </x14:cfvo>
            </x14:dataBar>
          </x14:cfRule>
          <xm:sqref>AD4:AD15 AD17:AD28 AD30:AD41 AD43:AD54 AD56:AD67 AD69:AD80 AD82:AD93 AD95:AD106 AD108:AD119 AD121:AD132 AD134:AD145 AD147:AD158 AD160</xm:sqref>
        </x14:conditionalFormatting>
        <x14:conditionalFormatting xmlns:xm="http://schemas.microsoft.com/office/excel/2006/main">
          <x14:cfRule type="dataBar" id="{B21D00F2-6152-4FF4-8E21-E9C95597F9EF}">
            <x14:dataBar minLength="0" maxLength="100" negativeBarColorSameAsPositive="1" axisPosition="none">
              <x14:cfvo type="num">
                <xm:f>0</xm:f>
              </x14:cfvo>
              <x14:cfvo type="num">
                <xm:f>1</xm:f>
              </x14:cfvo>
            </x14:dataBar>
          </x14:cfRule>
          <xm:sqref>AD16 AD29 AD42 AD55 AD68 AD81 AD94 AD107 AD120 AD133 AD146 AD159</xm:sqref>
        </x14:conditionalFormatting>
        <x14:conditionalFormatting xmlns:xm="http://schemas.microsoft.com/office/excel/2006/main">
          <x14:cfRule type="dataBar" id="{C2F96614-7C98-4784-B7CC-0351BE7214ED}">
            <x14:dataBar minLength="0" maxLength="100" negativeBarColorSameAsPositive="1" axisPosition="none">
              <x14:cfvo type="num">
                <xm:f>0</xm:f>
              </x14:cfvo>
              <x14:cfvo type="num">
                <xm:f>1</xm:f>
              </x14:cfvo>
            </x14:dataBar>
          </x14:cfRule>
          <xm:sqref>AE4:AE15 AE17:AE28 AE30:AE41 AE43:AE54 AE56:AE67 AE69:AE80 AE82:AE93 AE95:AE106 AE108:AE119 AE121:AE132 AE134:AE145 AE147:AE158 AE160</xm:sqref>
        </x14:conditionalFormatting>
        <x14:conditionalFormatting xmlns:xm="http://schemas.microsoft.com/office/excel/2006/main">
          <x14:cfRule type="dataBar" id="{91B27E53-2FD4-4022-A397-8BEFA7C335CD}">
            <x14:dataBar minLength="0" maxLength="100" negativeBarColorSameAsPositive="1" axisPosition="none">
              <x14:cfvo type="num">
                <xm:f>0</xm:f>
              </x14:cfvo>
              <x14:cfvo type="num">
                <xm:f>1</xm:f>
              </x14:cfvo>
            </x14:dataBar>
          </x14:cfRule>
          <xm:sqref>AE16 AE29 AE42 AE55 AE68 AE81 AE94 AE107 AE120 AE133 AE146 AE159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160"/>
  <sheetViews>
    <sheetView zoomScale="70" zoomScaleNormal="70" workbookViewId="0">
      <pane xSplit="6" ySplit="3" topLeftCell="G10" activePane="bottomRight" state="frozen"/>
      <selection pane="topRight"/>
      <selection pane="bottomLeft"/>
      <selection pane="bottomRight" activeCell="E7" sqref="E7"/>
    </sheetView>
  </sheetViews>
  <sheetFormatPr baseColWidth="10" defaultColWidth="9" defaultRowHeight="14"/>
  <cols>
    <col min="1" max="2" width="6.5" customWidth="1"/>
    <col min="3" max="3" width="8.1640625" customWidth="1"/>
    <col min="4" max="4" width="6.83203125" customWidth="1"/>
    <col min="5" max="5" width="41.6640625" customWidth="1"/>
    <col min="6" max="6" width="34.1640625" customWidth="1"/>
    <col min="7" max="9" width="14.83203125" customWidth="1"/>
    <col min="10" max="10" width="14.6640625" customWidth="1"/>
    <col min="11" max="11" width="14.83203125" hidden="1" customWidth="1"/>
    <col min="12" max="12" width="14.6640625" hidden="1" customWidth="1"/>
    <col min="13" max="13" width="14.83203125" hidden="1" customWidth="1"/>
    <col min="14" max="14" width="14.6640625" customWidth="1"/>
    <col min="15" max="16" width="15.6640625" customWidth="1"/>
    <col min="17" max="17" width="14.6640625" customWidth="1"/>
    <col min="18" max="18" width="15.6640625" customWidth="1"/>
    <col min="19" max="19" width="14.6640625" customWidth="1"/>
    <col min="20" max="20" width="15.6640625" customWidth="1"/>
    <col min="21" max="21" width="14.6640625" customWidth="1"/>
    <col min="22" max="22" width="15.6640625" customWidth="1"/>
    <col min="23" max="23" width="11.83203125" customWidth="1"/>
    <col min="24" max="24" width="15.6640625" customWidth="1"/>
    <col min="25" max="25" width="11.83203125" customWidth="1"/>
    <col min="26" max="26" width="15.6640625" customWidth="1"/>
    <col min="27" max="27" width="11.83203125" customWidth="1"/>
    <col min="28" max="28" width="15.6640625" customWidth="1"/>
    <col min="29" max="31" width="11.83203125" customWidth="1"/>
    <col min="32" max="32" width="15.6640625" customWidth="1"/>
    <col min="33" max="33" width="11.83203125" customWidth="1"/>
    <col min="34" max="34" width="15.6640625" customWidth="1"/>
    <col min="35" max="35" width="11.83203125" customWidth="1"/>
    <col min="36" max="36" width="15.6640625" customWidth="1"/>
    <col min="37" max="37" width="22.6640625" customWidth="1"/>
  </cols>
  <sheetData>
    <row r="1" spans="1:37" ht="27" customHeight="1">
      <c r="A1" s="216" t="s">
        <v>152</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8"/>
    </row>
    <row r="2" spans="1:37" ht="27" customHeight="1">
      <c r="A2" s="219" t="s">
        <v>153</v>
      </c>
      <c r="B2" s="219" t="s">
        <v>4</v>
      </c>
      <c r="C2" s="219" t="s">
        <v>154</v>
      </c>
      <c r="D2" s="219" t="s">
        <v>155</v>
      </c>
      <c r="E2" s="219" t="s">
        <v>156</v>
      </c>
      <c r="F2" s="219" t="s">
        <v>157</v>
      </c>
      <c r="G2" s="219" t="s">
        <v>158</v>
      </c>
      <c r="H2" s="219" t="s">
        <v>6</v>
      </c>
      <c r="I2" s="219" t="s">
        <v>159</v>
      </c>
      <c r="J2" s="219" t="s">
        <v>160</v>
      </c>
      <c r="K2" s="219" t="s">
        <v>161</v>
      </c>
      <c r="L2" s="219" t="s">
        <v>162</v>
      </c>
      <c r="M2" s="219" t="s">
        <v>163</v>
      </c>
      <c r="N2" s="219" t="s">
        <v>164</v>
      </c>
      <c r="O2" s="219" t="s">
        <v>165</v>
      </c>
      <c r="P2" s="219" t="s">
        <v>166</v>
      </c>
      <c r="Q2" s="219" t="s">
        <v>167</v>
      </c>
      <c r="R2" s="219" t="s">
        <v>168</v>
      </c>
      <c r="S2" s="219" t="s">
        <v>169</v>
      </c>
      <c r="T2" s="219" t="s">
        <v>170</v>
      </c>
      <c r="U2" s="219" t="s">
        <v>171</v>
      </c>
      <c r="V2" s="219" t="s">
        <v>172</v>
      </c>
      <c r="W2" s="219" t="s">
        <v>173</v>
      </c>
      <c r="X2" s="219" t="s">
        <v>174</v>
      </c>
      <c r="Y2" s="219" t="s">
        <v>175</v>
      </c>
      <c r="Z2" s="219" t="s">
        <v>176</v>
      </c>
      <c r="AA2" s="219" t="s">
        <v>177</v>
      </c>
      <c r="AB2" s="219" t="s">
        <v>178</v>
      </c>
      <c r="AC2" s="219" t="s">
        <v>179</v>
      </c>
      <c r="AD2" s="219" t="s">
        <v>180</v>
      </c>
      <c r="AE2" s="219" t="s">
        <v>181</v>
      </c>
      <c r="AF2" s="219" t="s">
        <v>182</v>
      </c>
      <c r="AG2" s="219" t="s">
        <v>183</v>
      </c>
      <c r="AH2" s="219" t="s">
        <v>184</v>
      </c>
      <c r="AI2" s="219" t="s">
        <v>185</v>
      </c>
      <c r="AJ2" s="219" t="s">
        <v>186</v>
      </c>
      <c r="AK2" s="219" t="s">
        <v>19</v>
      </c>
    </row>
    <row r="3" spans="1:37" ht="27" customHeight="1">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row>
    <row r="4" spans="1:37" ht="27" customHeight="1">
      <c r="A4" s="1">
        <v>1</v>
      </c>
      <c r="B4" s="1"/>
      <c r="C4" s="1"/>
      <c r="D4" s="1"/>
      <c r="E4" s="2" t="s">
        <v>649</v>
      </c>
      <c r="F4" s="3" t="s">
        <v>650</v>
      </c>
      <c r="G4" s="1"/>
      <c r="H4" s="4">
        <v>1</v>
      </c>
      <c r="I4" s="5"/>
      <c r="J4" s="1"/>
      <c r="K4" s="5"/>
      <c r="L4" s="6"/>
      <c r="M4" s="5"/>
      <c r="N4" s="7">
        <v>3.11</v>
      </c>
      <c r="O4" s="8">
        <v>1</v>
      </c>
      <c r="P4" s="9">
        <v>44964</v>
      </c>
      <c r="Q4" s="8">
        <v>0</v>
      </c>
      <c r="R4" s="9">
        <v>44964</v>
      </c>
      <c r="S4" s="8">
        <v>0</v>
      </c>
      <c r="T4" s="9">
        <v>44964</v>
      </c>
      <c r="U4" s="8">
        <v>0</v>
      </c>
      <c r="V4" s="9">
        <v>44964</v>
      </c>
      <c r="W4" s="8">
        <v>0</v>
      </c>
      <c r="X4" s="9">
        <v>44964</v>
      </c>
      <c r="Y4" s="8">
        <v>0</v>
      </c>
      <c r="Z4" s="9">
        <v>44964</v>
      </c>
      <c r="AA4" s="8">
        <v>0</v>
      </c>
      <c r="AB4" s="9">
        <v>44964</v>
      </c>
      <c r="AC4" s="8">
        <v>0</v>
      </c>
      <c r="AD4" s="8">
        <v>0</v>
      </c>
      <c r="AE4" s="8">
        <v>0</v>
      </c>
      <c r="AF4" s="9">
        <v>44964</v>
      </c>
      <c r="AG4" s="10" t="s">
        <v>189</v>
      </c>
      <c r="AH4" s="9">
        <v>44964</v>
      </c>
      <c r="AI4" s="10" t="s">
        <v>189</v>
      </c>
      <c r="AJ4" s="9">
        <v>44964</v>
      </c>
      <c r="AK4" s="5"/>
    </row>
    <row r="5" spans="1:37" ht="27" customHeight="1">
      <c r="A5" s="1">
        <v>2</v>
      </c>
      <c r="B5" s="1"/>
      <c r="C5" s="1"/>
      <c r="D5" s="1"/>
      <c r="E5" s="2" t="s">
        <v>651</v>
      </c>
      <c r="F5" s="3" t="s">
        <v>652</v>
      </c>
      <c r="G5" s="1"/>
      <c r="H5" s="4">
        <v>1</v>
      </c>
      <c r="I5" s="5"/>
      <c r="J5" s="1"/>
      <c r="K5" s="5"/>
      <c r="L5" s="6"/>
      <c r="M5" s="5"/>
      <c r="N5" s="7">
        <v>3.11</v>
      </c>
      <c r="O5" s="8">
        <v>1</v>
      </c>
      <c r="P5" s="9">
        <v>44964</v>
      </c>
      <c r="Q5" s="8">
        <v>0</v>
      </c>
      <c r="R5" s="9">
        <v>44964</v>
      </c>
      <c r="S5" s="8">
        <v>0</v>
      </c>
      <c r="T5" s="9">
        <v>44964</v>
      </c>
      <c r="U5" s="8">
        <v>0</v>
      </c>
      <c r="V5" s="9">
        <v>44964</v>
      </c>
      <c r="W5" s="8">
        <v>0</v>
      </c>
      <c r="X5" s="9">
        <v>44964</v>
      </c>
      <c r="Y5" s="8">
        <v>0</v>
      </c>
      <c r="Z5" s="9">
        <v>44964</v>
      </c>
      <c r="AA5" s="8">
        <v>0</v>
      </c>
      <c r="AB5" s="9">
        <v>44964</v>
      </c>
      <c r="AC5" s="8">
        <v>0</v>
      </c>
      <c r="AD5" s="8">
        <v>0</v>
      </c>
      <c r="AE5" s="8">
        <v>0</v>
      </c>
      <c r="AF5" s="9">
        <v>44964</v>
      </c>
      <c r="AG5" s="10" t="s">
        <v>189</v>
      </c>
      <c r="AH5" s="9">
        <v>44964</v>
      </c>
      <c r="AI5" s="10" t="s">
        <v>189</v>
      </c>
      <c r="AJ5" s="9">
        <v>44964</v>
      </c>
      <c r="AK5" s="5"/>
    </row>
    <row r="6" spans="1:37" ht="27" customHeight="1">
      <c r="A6" s="1">
        <v>3</v>
      </c>
      <c r="B6" s="1"/>
      <c r="C6" s="1"/>
      <c r="D6" s="1"/>
      <c r="E6" s="2" t="s">
        <v>653</v>
      </c>
      <c r="F6" s="3" t="s">
        <v>654</v>
      </c>
      <c r="G6" s="1"/>
      <c r="H6" s="4">
        <v>1</v>
      </c>
      <c r="I6" s="5"/>
      <c r="J6" s="1"/>
      <c r="K6" s="5"/>
      <c r="L6" s="6"/>
      <c r="M6" s="5"/>
      <c r="N6" s="7">
        <v>3.13</v>
      </c>
      <c r="O6" s="8">
        <v>1</v>
      </c>
      <c r="P6" s="9">
        <v>44964</v>
      </c>
      <c r="Q6" s="8">
        <v>0</v>
      </c>
      <c r="R6" s="9">
        <v>44964</v>
      </c>
      <c r="S6" s="8">
        <v>0</v>
      </c>
      <c r="T6" s="9">
        <v>44964</v>
      </c>
      <c r="U6" s="8">
        <v>0</v>
      </c>
      <c r="V6" s="9">
        <v>44964</v>
      </c>
      <c r="W6" s="8">
        <v>0</v>
      </c>
      <c r="X6" s="9">
        <v>44964</v>
      </c>
      <c r="Y6" s="8">
        <v>0</v>
      </c>
      <c r="Z6" s="9">
        <v>44964</v>
      </c>
      <c r="AA6" s="8">
        <v>0</v>
      </c>
      <c r="AB6" s="9">
        <v>44964</v>
      </c>
      <c r="AC6" s="8">
        <v>0</v>
      </c>
      <c r="AD6" s="8">
        <v>0</v>
      </c>
      <c r="AE6" s="8">
        <v>0</v>
      </c>
      <c r="AF6" s="9">
        <v>44964</v>
      </c>
      <c r="AG6" s="10" t="s">
        <v>189</v>
      </c>
      <c r="AH6" s="9">
        <v>44964</v>
      </c>
      <c r="AI6" s="10" t="s">
        <v>189</v>
      </c>
      <c r="AJ6" s="9">
        <v>44964</v>
      </c>
      <c r="AK6" s="5"/>
    </row>
    <row r="7" spans="1:37" ht="27" customHeight="1">
      <c r="A7" s="1">
        <v>4</v>
      </c>
      <c r="B7" s="5"/>
      <c r="C7" s="5"/>
      <c r="D7" s="5"/>
      <c r="E7" s="2" t="s">
        <v>655</v>
      </c>
      <c r="F7" s="3" t="s">
        <v>656</v>
      </c>
      <c r="G7" s="1"/>
      <c r="H7" s="4">
        <v>1</v>
      </c>
      <c r="I7" s="5"/>
      <c r="J7" s="1"/>
      <c r="K7" s="5"/>
      <c r="L7" s="6"/>
      <c r="M7" s="5"/>
      <c r="N7" s="7">
        <v>3.13</v>
      </c>
      <c r="O7" s="8">
        <v>1</v>
      </c>
      <c r="P7" s="9">
        <v>44964</v>
      </c>
      <c r="Q7" s="8">
        <v>0</v>
      </c>
      <c r="R7" s="9">
        <v>44964</v>
      </c>
      <c r="S7" s="8">
        <v>0</v>
      </c>
      <c r="T7" s="9">
        <v>44964</v>
      </c>
      <c r="U7" s="8">
        <v>0</v>
      </c>
      <c r="V7" s="9">
        <v>44964</v>
      </c>
      <c r="W7" s="8">
        <v>0</v>
      </c>
      <c r="X7" s="9">
        <v>44964</v>
      </c>
      <c r="Y7" s="8">
        <v>0</v>
      </c>
      <c r="Z7" s="9">
        <v>44964</v>
      </c>
      <c r="AA7" s="8">
        <v>0</v>
      </c>
      <c r="AB7" s="9">
        <v>44964</v>
      </c>
      <c r="AC7" s="8">
        <v>0</v>
      </c>
      <c r="AD7" s="8">
        <v>0</v>
      </c>
      <c r="AE7" s="8">
        <v>0</v>
      </c>
      <c r="AF7" s="9">
        <v>44964</v>
      </c>
      <c r="AG7" s="10" t="s">
        <v>189</v>
      </c>
      <c r="AH7" s="9">
        <v>44964</v>
      </c>
      <c r="AI7" s="10" t="s">
        <v>189</v>
      </c>
      <c r="AJ7" s="9">
        <v>44964</v>
      </c>
      <c r="AK7" s="5"/>
    </row>
    <row r="8" spans="1:37" ht="27" customHeight="1">
      <c r="A8" s="1">
        <v>5</v>
      </c>
      <c r="B8" s="5"/>
      <c r="C8" s="5"/>
      <c r="D8" s="5"/>
      <c r="E8" s="2" t="s">
        <v>657</v>
      </c>
      <c r="F8" s="3" t="s">
        <v>658</v>
      </c>
      <c r="G8" s="1"/>
      <c r="H8" s="4">
        <v>1</v>
      </c>
      <c r="I8" s="5"/>
      <c r="J8" s="1"/>
      <c r="K8" s="5"/>
      <c r="L8" s="6"/>
      <c r="M8" s="5"/>
      <c r="N8" s="7">
        <v>3.14</v>
      </c>
      <c r="O8" s="8">
        <v>1</v>
      </c>
      <c r="P8" s="9">
        <v>44964</v>
      </c>
      <c r="Q8" s="8">
        <v>0</v>
      </c>
      <c r="R8" s="9">
        <v>44964</v>
      </c>
      <c r="S8" s="8">
        <v>0</v>
      </c>
      <c r="T8" s="9">
        <v>44964</v>
      </c>
      <c r="U8" s="8">
        <v>0</v>
      </c>
      <c r="V8" s="9">
        <v>44964</v>
      </c>
      <c r="W8" s="8">
        <v>0</v>
      </c>
      <c r="X8" s="9">
        <v>44964</v>
      </c>
      <c r="Y8" s="8">
        <v>0</v>
      </c>
      <c r="Z8" s="9">
        <v>44964</v>
      </c>
      <c r="AA8" s="8">
        <v>0</v>
      </c>
      <c r="AB8" s="9">
        <v>44964</v>
      </c>
      <c r="AC8" s="8">
        <v>0</v>
      </c>
      <c r="AD8" s="8">
        <v>0</v>
      </c>
      <c r="AE8" s="8">
        <v>0</v>
      </c>
      <c r="AF8" s="9">
        <v>44964</v>
      </c>
      <c r="AG8" s="10" t="s">
        <v>189</v>
      </c>
      <c r="AH8" s="9">
        <v>44964</v>
      </c>
      <c r="AI8" s="10" t="s">
        <v>189</v>
      </c>
      <c r="AJ8" s="9">
        <v>44964</v>
      </c>
      <c r="AK8" s="5"/>
    </row>
    <row r="9" spans="1:37" ht="27" customHeight="1">
      <c r="A9" s="1">
        <v>6</v>
      </c>
      <c r="B9" s="5"/>
      <c r="C9" s="5"/>
      <c r="D9" s="5"/>
      <c r="E9" s="2" t="s">
        <v>659</v>
      </c>
      <c r="F9" s="3" t="s">
        <v>660</v>
      </c>
      <c r="G9" s="1"/>
      <c r="H9" s="4">
        <v>1</v>
      </c>
      <c r="I9" s="5"/>
      <c r="J9" s="1"/>
      <c r="K9" s="5"/>
      <c r="L9" s="6"/>
      <c r="M9" s="5"/>
      <c r="N9" s="7">
        <v>3.13</v>
      </c>
      <c r="O9" s="8">
        <v>1</v>
      </c>
      <c r="P9" s="9">
        <v>44964</v>
      </c>
      <c r="Q9" s="8">
        <v>0</v>
      </c>
      <c r="R9" s="9">
        <v>44964</v>
      </c>
      <c r="S9" s="8">
        <v>0</v>
      </c>
      <c r="T9" s="9">
        <v>44964</v>
      </c>
      <c r="U9" s="8">
        <v>0</v>
      </c>
      <c r="V9" s="9">
        <v>44964</v>
      </c>
      <c r="W9" s="8">
        <v>0</v>
      </c>
      <c r="X9" s="9">
        <v>44964</v>
      </c>
      <c r="Y9" s="8">
        <v>0</v>
      </c>
      <c r="Z9" s="9">
        <v>44964</v>
      </c>
      <c r="AA9" s="8">
        <v>0</v>
      </c>
      <c r="AB9" s="9">
        <v>44964</v>
      </c>
      <c r="AC9" s="8">
        <v>0</v>
      </c>
      <c r="AD9" s="8">
        <v>0</v>
      </c>
      <c r="AE9" s="8">
        <v>0</v>
      </c>
      <c r="AF9" s="9">
        <v>44964</v>
      </c>
      <c r="AG9" s="10" t="s">
        <v>189</v>
      </c>
      <c r="AH9" s="9">
        <v>44964</v>
      </c>
      <c r="AI9" s="10" t="s">
        <v>189</v>
      </c>
      <c r="AJ9" s="9">
        <v>44964</v>
      </c>
      <c r="AK9" s="5"/>
    </row>
    <row r="10" spans="1:37" ht="27" customHeight="1">
      <c r="A10" s="1">
        <v>7</v>
      </c>
      <c r="B10" s="5"/>
      <c r="C10" s="5"/>
      <c r="D10" s="5"/>
      <c r="E10" s="2" t="s">
        <v>661</v>
      </c>
      <c r="F10" s="3" t="s">
        <v>662</v>
      </c>
      <c r="G10" s="1"/>
      <c r="H10" s="4">
        <v>1</v>
      </c>
      <c r="I10" s="5"/>
      <c r="J10" s="1"/>
      <c r="K10" s="5"/>
      <c r="L10" s="6"/>
      <c r="M10" s="5"/>
      <c r="N10" s="7">
        <v>3.13</v>
      </c>
      <c r="O10" s="8">
        <v>1</v>
      </c>
      <c r="P10" s="9">
        <v>44964</v>
      </c>
      <c r="Q10" s="8">
        <v>0</v>
      </c>
      <c r="R10" s="9">
        <v>44964</v>
      </c>
      <c r="S10" s="8">
        <v>0</v>
      </c>
      <c r="T10" s="9">
        <v>44964</v>
      </c>
      <c r="U10" s="8">
        <v>0</v>
      </c>
      <c r="V10" s="9">
        <v>44964</v>
      </c>
      <c r="W10" s="8">
        <v>0</v>
      </c>
      <c r="X10" s="9">
        <v>44964</v>
      </c>
      <c r="Y10" s="8">
        <v>0</v>
      </c>
      <c r="Z10" s="9">
        <v>44964</v>
      </c>
      <c r="AA10" s="8">
        <v>0</v>
      </c>
      <c r="AB10" s="9">
        <v>44964</v>
      </c>
      <c r="AC10" s="8">
        <v>0</v>
      </c>
      <c r="AD10" s="8">
        <v>0</v>
      </c>
      <c r="AE10" s="8">
        <v>0</v>
      </c>
      <c r="AF10" s="9">
        <v>44964</v>
      </c>
      <c r="AG10" s="10" t="s">
        <v>189</v>
      </c>
      <c r="AH10" s="9">
        <v>44964</v>
      </c>
      <c r="AI10" s="10" t="s">
        <v>189</v>
      </c>
      <c r="AJ10" s="9">
        <v>44964</v>
      </c>
      <c r="AK10" s="5"/>
    </row>
    <row r="11" spans="1:37" ht="27" customHeight="1">
      <c r="A11" s="1">
        <v>8</v>
      </c>
      <c r="B11" s="5"/>
      <c r="C11" s="5"/>
      <c r="D11" s="5"/>
      <c r="E11" s="2" t="s">
        <v>663</v>
      </c>
      <c r="F11" s="3" t="s">
        <v>664</v>
      </c>
      <c r="G11" s="1"/>
      <c r="H11" s="4">
        <v>1</v>
      </c>
      <c r="I11" s="5"/>
      <c r="J11" s="1"/>
      <c r="K11" s="5"/>
      <c r="L11" s="6"/>
      <c r="M11" s="5"/>
      <c r="N11" s="7">
        <v>3.13</v>
      </c>
      <c r="O11" s="8">
        <v>1</v>
      </c>
      <c r="P11" s="9">
        <v>44964</v>
      </c>
      <c r="Q11" s="8">
        <v>0</v>
      </c>
      <c r="R11" s="9">
        <v>44964</v>
      </c>
      <c r="S11" s="8">
        <v>0</v>
      </c>
      <c r="T11" s="9">
        <v>44964</v>
      </c>
      <c r="U11" s="8">
        <v>0</v>
      </c>
      <c r="V11" s="9">
        <v>44964</v>
      </c>
      <c r="W11" s="8">
        <v>0</v>
      </c>
      <c r="X11" s="9">
        <v>44964</v>
      </c>
      <c r="Y11" s="8">
        <v>0</v>
      </c>
      <c r="Z11" s="9">
        <v>44964</v>
      </c>
      <c r="AA11" s="8">
        <v>0</v>
      </c>
      <c r="AB11" s="9">
        <v>44964</v>
      </c>
      <c r="AC11" s="8">
        <v>0</v>
      </c>
      <c r="AD11" s="8">
        <v>0</v>
      </c>
      <c r="AE11" s="8">
        <v>0</v>
      </c>
      <c r="AF11" s="9">
        <v>44964</v>
      </c>
      <c r="AG11" s="10" t="s">
        <v>189</v>
      </c>
      <c r="AH11" s="9">
        <v>44964</v>
      </c>
      <c r="AI11" s="10" t="s">
        <v>189</v>
      </c>
      <c r="AJ11" s="9">
        <v>44964</v>
      </c>
      <c r="AK11" s="5"/>
    </row>
    <row r="12" spans="1:37" ht="27" customHeight="1">
      <c r="A12" s="1">
        <v>9</v>
      </c>
      <c r="B12" s="5"/>
      <c r="C12" s="5"/>
      <c r="D12" s="5"/>
      <c r="E12" s="2" t="s">
        <v>665</v>
      </c>
      <c r="F12" s="3" t="s">
        <v>666</v>
      </c>
      <c r="G12" s="1"/>
      <c r="H12" s="4">
        <v>1</v>
      </c>
      <c r="I12" s="5"/>
      <c r="J12" s="1"/>
      <c r="K12" s="5"/>
      <c r="L12" s="6"/>
      <c r="M12" s="5"/>
      <c r="N12" s="7">
        <v>3.13</v>
      </c>
      <c r="O12" s="8">
        <v>1</v>
      </c>
      <c r="P12" s="9">
        <v>44964</v>
      </c>
      <c r="Q12" s="8">
        <v>0</v>
      </c>
      <c r="R12" s="9">
        <v>44964</v>
      </c>
      <c r="S12" s="8">
        <v>0</v>
      </c>
      <c r="T12" s="9">
        <v>44964</v>
      </c>
      <c r="U12" s="8">
        <v>0</v>
      </c>
      <c r="V12" s="9">
        <v>44964</v>
      </c>
      <c r="W12" s="8">
        <v>0</v>
      </c>
      <c r="X12" s="9">
        <v>44964</v>
      </c>
      <c r="Y12" s="8">
        <v>0</v>
      </c>
      <c r="Z12" s="9">
        <v>44964</v>
      </c>
      <c r="AA12" s="8">
        <v>0</v>
      </c>
      <c r="AB12" s="9">
        <v>44964</v>
      </c>
      <c r="AC12" s="8">
        <v>0</v>
      </c>
      <c r="AD12" s="8">
        <v>0</v>
      </c>
      <c r="AE12" s="8">
        <v>0</v>
      </c>
      <c r="AF12" s="9">
        <v>44964</v>
      </c>
      <c r="AG12" s="10" t="s">
        <v>189</v>
      </c>
      <c r="AH12" s="9">
        <v>44964</v>
      </c>
      <c r="AI12" s="10" t="s">
        <v>189</v>
      </c>
      <c r="AJ12" s="9">
        <v>44964</v>
      </c>
      <c r="AK12" s="5"/>
    </row>
    <row r="13" spans="1:37" ht="27" customHeight="1">
      <c r="A13" s="1">
        <v>10</v>
      </c>
      <c r="B13" s="5"/>
      <c r="C13" s="5"/>
      <c r="D13" s="5"/>
      <c r="E13" s="2" t="s">
        <v>667</v>
      </c>
      <c r="F13" s="3" t="s">
        <v>668</v>
      </c>
      <c r="G13" s="1"/>
      <c r="H13" s="4">
        <v>1</v>
      </c>
      <c r="I13" s="5"/>
      <c r="J13" s="1"/>
      <c r="K13" s="5"/>
      <c r="L13" s="6"/>
      <c r="M13" s="5"/>
      <c r="N13" s="7">
        <v>3.13</v>
      </c>
      <c r="O13" s="8">
        <v>1</v>
      </c>
      <c r="P13" s="9">
        <v>44964</v>
      </c>
      <c r="Q13" s="8">
        <v>0</v>
      </c>
      <c r="R13" s="9">
        <v>44964</v>
      </c>
      <c r="S13" s="8">
        <v>0</v>
      </c>
      <c r="T13" s="9">
        <v>44964</v>
      </c>
      <c r="U13" s="8">
        <v>0</v>
      </c>
      <c r="V13" s="9">
        <v>44964</v>
      </c>
      <c r="W13" s="8">
        <v>0</v>
      </c>
      <c r="X13" s="9">
        <v>44964</v>
      </c>
      <c r="Y13" s="8">
        <v>0</v>
      </c>
      <c r="Z13" s="9">
        <v>44964</v>
      </c>
      <c r="AA13" s="8">
        <v>0</v>
      </c>
      <c r="AB13" s="9">
        <v>44964</v>
      </c>
      <c r="AC13" s="8">
        <v>0</v>
      </c>
      <c r="AD13" s="8">
        <v>0</v>
      </c>
      <c r="AE13" s="8">
        <v>0</v>
      </c>
      <c r="AF13" s="9">
        <v>44964</v>
      </c>
      <c r="AG13" s="10" t="s">
        <v>189</v>
      </c>
      <c r="AH13" s="9">
        <v>44964</v>
      </c>
      <c r="AI13" s="10" t="s">
        <v>189</v>
      </c>
      <c r="AJ13" s="9">
        <v>44964</v>
      </c>
      <c r="AK13" s="5"/>
    </row>
    <row r="14" spans="1:37" ht="27" customHeight="1">
      <c r="A14" s="1">
        <v>11</v>
      </c>
      <c r="B14" s="5"/>
      <c r="C14" s="5"/>
      <c r="D14" s="5"/>
      <c r="E14" s="2" t="s">
        <v>669</v>
      </c>
      <c r="F14" s="3" t="s">
        <v>670</v>
      </c>
      <c r="G14" s="1"/>
      <c r="H14" s="4">
        <v>1</v>
      </c>
      <c r="I14" s="5"/>
      <c r="J14" s="1"/>
      <c r="K14" s="5"/>
      <c r="L14" s="6"/>
      <c r="M14" s="5"/>
      <c r="N14" s="7">
        <v>3.13</v>
      </c>
      <c r="O14" s="8">
        <v>1</v>
      </c>
      <c r="P14" s="9">
        <v>44964</v>
      </c>
      <c r="Q14" s="8">
        <v>0</v>
      </c>
      <c r="R14" s="9">
        <v>44964</v>
      </c>
      <c r="S14" s="8">
        <v>0</v>
      </c>
      <c r="T14" s="9">
        <v>44964</v>
      </c>
      <c r="U14" s="8">
        <v>0</v>
      </c>
      <c r="V14" s="9">
        <v>44964</v>
      </c>
      <c r="W14" s="8">
        <v>0</v>
      </c>
      <c r="X14" s="9">
        <v>44964</v>
      </c>
      <c r="Y14" s="8">
        <v>0</v>
      </c>
      <c r="Z14" s="9">
        <v>44964</v>
      </c>
      <c r="AA14" s="8">
        <v>0</v>
      </c>
      <c r="AB14" s="9">
        <v>44964</v>
      </c>
      <c r="AC14" s="8">
        <v>0</v>
      </c>
      <c r="AD14" s="8">
        <v>0</v>
      </c>
      <c r="AE14" s="8">
        <v>0</v>
      </c>
      <c r="AF14" s="9">
        <v>44964</v>
      </c>
      <c r="AG14" s="10" t="s">
        <v>189</v>
      </c>
      <c r="AH14" s="9">
        <v>44964</v>
      </c>
      <c r="AI14" s="10" t="s">
        <v>189</v>
      </c>
      <c r="AJ14" s="9">
        <v>44964</v>
      </c>
      <c r="AK14" s="5"/>
    </row>
    <row r="15" spans="1:37" ht="27" customHeight="1">
      <c r="A15" s="1">
        <v>12</v>
      </c>
      <c r="B15" s="5"/>
      <c r="C15" s="5"/>
      <c r="D15" s="5"/>
      <c r="E15" s="2" t="s">
        <v>671</v>
      </c>
      <c r="F15" s="3" t="s">
        <v>672</v>
      </c>
      <c r="G15" s="1"/>
      <c r="H15" s="4">
        <v>1</v>
      </c>
      <c r="I15" s="5"/>
      <c r="J15" s="1"/>
      <c r="K15" s="5"/>
      <c r="L15" s="6"/>
      <c r="M15" s="5"/>
      <c r="N15" s="7">
        <v>3.14</v>
      </c>
      <c r="O15" s="8">
        <v>1</v>
      </c>
      <c r="P15" s="9">
        <v>44964</v>
      </c>
      <c r="Q15" s="8">
        <v>0</v>
      </c>
      <c r="R15" s="9">
        <v>44964</v>
      </c>
      <c r="S15" s="8">
        <v>0</v>
      </c>
      <c r="T15" s="9">
        <v>44964</v>
      </c>
      <c r="U15" s="8">
        <v>0</v>
      </c>
      <c r="V15" s="9">
        <v>44964</v>
      </c>
      <c r="W15" s="8">
        <v>0</v>
      </c>
      <c r="X15" s="9">
        <v>44964</v>
      </c>
      <c r="Y15" s="8">
        <v>0</v>
      </c>
      <c r="Z15" s="9">
        <v>44964</v>
      </c>
      <c r="AA15" s="8">
        <v>0</v>
      </c>
      <c r="AB15" s="9">
        <v>44964</v>
      </c>
      <c r="AC15" s="8">
        <v>0</v>
      </c>
      <c r="AD15" s="8">
        <v>0</v>
      </c>
      <c r="AE15" s="8">
        <v>0</v>
      </c>
      <c r="AF15" s="9">
        <v>44964</v>
      </c>
      <c r="AG15" s="10" t="s">
        <v>189</v>
      </c>
      <c r="AH15" s="9">
        <v>44964</v>
      </c>
      <c r="AI15" s="10" t="s">
        <v>189</v>
      </c>
      <c r="AJ15" s="9">
        <v>44964</v>
      </c>
      <c r="AK15" s="5"/>
    </row>
    <row r="16" spans="1:37" ht="27" customHeight="1">
      <c r="A16" s="1">
        <v>13</v>
      </c>
      <c r="B16" s="5"/>
      <c r="C16" s="5"/>
      <c r="D16" s="5"/>
      <c r="E16" s="2" t="s">
        <v>673</v>
      </c>
      <c r="F16" s="3" t="s">
        <v>674</v>
      </c>
      <c r="G16" s="1"/>
      <c r="H16" s="4">
        <v>1</v>
      </c>
      <c r="I16" s="5"/>
      <c r="J16" s="1"/>
      <c r="K16" s="5"/>
      <c r="L16" s="6"/>
      <c r="M16" s="5"/>
      <c r="N16" s="7">
        <v>3.15</v>
      </c>
      <c r="O16" s="8">
        <v>1</v>
      </c>
      <c r="P16" s="9">
        <v>44964</v>
      </c>
      <c r="Q16" s="8">
        <v>0</v>
      </c>
      <c r="R16" s="9">
        <v>44964</v>
      </c>
      <c r="S16" s="8">
        <v>0</v>
      </c>
      <c r="T16" s="9">
        <v>44964</v>
      </c>
      <c r="U16" s="8">
        <v>0</v>
      </c>
      <c r="V16" s="9">
        <v>44964</v>
      </c>
      <c r="W16" s="8">
        <v>0</v>
      </c>
      <c r="X16" s="9">
        <v>44964</v>
      </c>
      <c r="Y16" s="8">
        <v>0</v>
      </c>
      <c r="Z16" s="9">
        <v>44964</v>
      </c>
      <c r="AA16" s="8">
        <v>0</v>
      </c>
      <c r="AB16" s="9">
        <v>44964</v>
      </c>
      <c r="AC16" s="8">
        <v>0</v>
      </c>
      <c r="AD16" s="8">
        <v>0</v>
      </c>
      <c r="AE16" s="8">
        <v>0</v>
      </c>
      <c r="AF16" s="9">
        <v>44964</v>
      </c>
      <c r="AG16" s="10" t="s">
        <v>189</v>
      </c>
      <c r="AH16" s="9">
        <v>44964</v>
      </c>
      <c r="AI16" s="10" t="s">
        <v>189</v>
      </c>
      <c r="AJ16" s="9">
        <v>44964</v>
      </c>
      <c r="AK16" s="5"/>
    </row>
    <row r="17" spans="1:37" ht="27" customHeight="1">
      <c r="A17" s="1">
        <v>14</v>
      </c>
      <c r="B17" s="5"/>
      <c r="C17" s="5"/>
      <c r="D17" s="5"/>
      <c r="E17" s="2" t="s">
        <v>675</v>
      </c>
      <c r="F17" s="3" t="s">
        <v>676</v>
      </c>
      <c r="G17" s="1"/>
      <c r="H17" s="4">
        <v>1</v>
      </c>
      <c r="I17" s="5"/>
      <c r="J17" s="1"/>
      <c r="K17" s="5"/>
      <c r="L17" s="6"/>
      <c r="M17" s="5"/>
      <c r="N17" s="7">
        <v>3.13</v>
      </c>
      <c r="O17" s="8">
        <v>1</v>
      </c>
      <c r="P17" s="9">
        <v>44964</v>
      </c>
      <c r="Q17" s="8">
        <v>0</v>
      </c>
      <c r="R17" s="9">
        <v>44964</v>
      </c>
      <c r="S17" s="8">
        <v>0</v>
      </c>
      <c r="T17" s="9">
        <v>44964</v>
      </c>
      <c r="U17" s="8">
        <v>0</v>
      </c>
      <c r="V17" s="9">
        <v>44964</v>
      </c>
      <c r="W17" s="8">
        <v>0</v>
      </c>
      <c r="X17" s="9">
        <v>44964</v>
      </c>
      <c r="Y17" s="8">
        <v>0</v>
      </c>
      <c r="Z17" s="9">
        <v>44964</v>
      </c>
      <c r="AA17" s="8">
        <v>0</v>
      </c>
      <c r="AB17" s="9">
        <v>44964</v>
      </c>
      <c r="AC17" s="8">
        <v>0</v>
      </c>
      <c r="AD17" s="8">
        <v>0</v>
      </c>
      <c r="AE17" s="8">
        <v>0</v>
      </c>
      <c r="AF17" s="9">
        <v>44964</v>
      </c>
      <c r="AG17" s="10" t="s">
        <v>189</v>
      </c>
      <c r="AH17" s="9">
        <v>44964</v>
      </c>
      <c r="AI17" s="10" t="s">
        <v>189</v>
      </c>
      <c r="AJ17" s="9">
        <v>44964</v>
      </c>
      <c r="AK17" s="5"/>
    </row>
    <row r="18" spans="1:37" ht="27" customHeight="1">
      <c r="A18" s="1">
        <v>15</v>
      </c>
      <c r="B18" s="5"/>
      <c r="C18" s="5"/>
      <c r="D18" s="5"/>
      <c r="E18" s="2" t="s">
        <v>677</v>
      </c>
      <c r="F18" s="3" t="s">
        <v>678</v>
      </c>
      <c r="G18" s="1"/>
      <c r="H18" s="4">
        <v>1</v>
      </c>
      <c r="I18" s="5"/>
      <c r="J18" s="1"/>
      <c r="K18" s="5"/>
      <c r="L18" s="6"/>
      <c r="M18" s="5"/>
      <c r="N18" s="7">
        <v>3.13</v>
      </c>
      <c r="O18" s="8">
        <v>1</v>
      </c>
      <c r="P18" s="9">
        <v>44964</v>
      </c>
      <c r="Q18" s="8">
        <v>0</v>
      </c>
      <c r="R18" s="9">
        <v>44964</v>
      </c>
      <c r="S18" s="8">
        <v>0</v>
      </c>
      <c r="T18" s="9">
        <v>44964</v>
      </c>
      <c r="U18" s="8">
        <v>0</v>
      </c>
      <c r="V18" s="9">
        <v>44964</v>
      </c>
      <c r="W18" s="8">
        <v>0</v>
      </c>
      <c r="X18" s="9">
        <v>44964</v>
      </c>
      <c r="Y18" s="8">
        <v>0</v>
      </c>
      <c r="Z18" s="9">
        <v>44964</v>
      </c>
      <c r="AA18" s="8">
        <v>0</v>
      </c>
      <c r="AB18" s="9">
        <v>44964</v>
      </c>
      <c r="AC18" s="8">
        <v>0</v>
      </c>
      <c r="AD18" s="8">
        <v>0</v>
      </c>
      <c r="AE18" s="8">
        <v>0</v>
      </c>
      <c r="AF18" s="9">
        <v>44964</v>
      </c>
      <c r="AG18" s="10" t="s">
        <v>189</v>
      </c>
      <c r="AH18" s="9">
        <v>44964</v>
      </c>
      <c r="AI18" s="10" t="s">
        <v>189</v>
      </c>
      <c r="AJ18" s="9">
        <v>44964</v>
      </c>
      <c r="AK18" s="5"/>
    </row>
    <row r="19" spans="1:37" ht="27" customHeight="1">
      <c r="A19" s="1">
        <v>16</v>
      </c>
      <c r="B19" s="5"/>
      <c r="C19" s="5"/>
      <c r="D19" s="5"/>
      <c r="E19" s="2" t="s">
        <v>679</v>
      </c>
      <c r="F19" s="3" t="s">
        <v>680</v>
      </c>
      <c r="G19" s="1"/>
      <c r="H19" s="4">
        <v>1</v>
      </c>
      <c r="I19" s="5"/>
      <c r="J19" s="1"/>
      <c r="K19" s="5"/>
      <c r="L19" s="6"/>
      <c r="M19" s="5"/>
      <c r="N19" s="7">
        <v>3.13</v>
      </c>
      <c r="O19" s="8">
        <v>1</v>
      </c>
      <c r="P19" s="9">
        <v>44964</v>
      </c>
      <c r="Q19" s="8">
        <v>0</v>
      </c>
      <c r="R19" s="9">
        <v>44964</v>
      </c>
      <c r="S19" s="8">
        <v>0</v>
      </c>
      <c r="T19" s="9">
        <v>44964</v>
      </c>
      <c r="U19" s="8">
        <v>0</v>
      </c>
      <c r="V19" s="9">
        <v>44964</v>
      </c>
      <c r="W19" s="8">
        <v>0</v>
      </c>
      <c r="X19" s="9">
        <v>44964</v>
      </c>
      <c r="Y19" s="8">
        <v>0</v>
      </c>
      <c r="Z19" s="9">
        <v>44964</v>
      </c>
      <c r="AA19" s="8">
        <v>0</v>
      </c>
      <c r="AB19" s="9">
        <v>44964</v>
      </c>
      <c r="AC19" s="8">
        <v>0</v>
      </c>
      <c r="AD19" s="8">
        <v>0</v>
      </c>
      <c r="AE19" s="8">
        <v>0</v>
      </c>
      <c r="AF19" s="9">
        <v>44964</v>
      </c>
      <c r="AG19" s="10" t="s">
        <v>189</v>
      </c>
      <c r="AH19" s="9">
        <v>44964</v>
      </c>
      <c r="AI19" s="10" t="s">
        <v>189</v>
      </c>
      <c r="AJ19" s="9">
        <v>44964</v>
      </c>
      <c r="AK19" s="5"/>
    </row>
    <row r="20" spans="1:37" ht="27" customHeight="1">
      <c r="A20" s="1">
        <v>17</v>
      </c>
      <c r="B20" s="5"/>
      <c r="C20" s="5"/>
      <c r="D20" s="5"/>
      <c r="E20" s="2" t="s">
        <v>681</v>
      </c>
      <c r="F20" s="3" t="s">
        <v>682</v>
      </c>
      <c r="G20" s="1"/>
      <c r="H20" s="4">
        <v>1</v>
      </c>
      <c r="I20" s="5"/>
      <c r="J20" s="1"/>
      <c r="K20" s="5"/>
      <c r="L20" s="6"/>
      <c r="M20" s="5"/>
      <c r="N20" s="7">
        <v>3.13</v>
      </c>
      <c r="O20" s="8">
        <v>1</v>
      </c>
      <c r="P20" s="9">
        <v>44964</v>
      </c>
      <c r="Q20" s="8">
        <v>0</v>
      </c>
      <c r="R20" s="9">
        <v>44964</v>
      </c>
      <c r="S20" s="8">
        <v>0</v>
      </c>
      <c r="T20" s="9">
        <v>44964</v>
      </c>
      <c r="U20" s="8">
        <v>0</v>
      </c>
      <c r="V20" s="9">
        <v>44964</v>
      </c>
      <c r="W20" s="8">
        <v>0</v>
      </c>
      <c r="X20" s="9">
        <v>44964</v>
      </c>
      <c r="Y20" s="8">
        <v>0</v>
      </c>
      <c r="Z20" s="9">
        <v>44964</v>
      </c>
      <c r="AA20" s="8">
        <v>0</v>
      </c>
      <c r="AB20" s="9">
        <v>44964</v>
      </c>
      <c r="AC20" s="8">
        <v>0</v>
      </c>
      <c r="AD20" s="8">
        <v>0</v>
      </c>
      <c r="AE20" s="8">
        <v>0</v>
      </c>
      <c r="AF20" s="9">
        <v>44964</v>
      </c>
      <c r="AG20" s="10" t="s">
        <v>189</v>
      </c>
      <c r="AH20" s="9">
        <v>44964</v>
      </c>
      <c r="AI20" s="10" t="s">
        <v>189</v>
      </c>
      <c r="AJ20" s="9">
        <v>44964</v>
      </c>
      <c r="AK20" s="5"/>
    </row>
    <row r="21" spans="1:37" ht="27" customHeight="1">
      <c r="A21" s="1">
        <v>18</v>
      </c>
      <c r="B21" s="5"/>
      <c r="C21" s="5"/>
      <c r="D21" s="5"/>
      <c r="E21" s="2" t="s">
        <v>683</v>
      </c>
      <c r="F21" s="3" t="s">
        <v>684</v>
      </c>
      <c r="G21" s="1"/>
      <c r="H21" s="4">
        <v>1</v>
      </c>
      <c r="I21" s="5"/>
      <c r="J21" s="1"/>
      <c r="K21" s="5"/>
      <c r="L21" s="6"/>
      <c r="M21" s="5"/>
      <c r="N21" s="7">
        <v>3.14</v>
      </c>
      <c r="O21" s="8">
        <v>1</v>
      </c>
      <c r="P21" s="9">
        <v>44964</v>
      </c>
      <c r="Q21" s="8">
        <v>0</v>
      </c>
      <c r="R21" s="9">
        <v>44964</v>
      </c>
      <c r="S21" s="8">
        <v>0</v>
      </c>
      <c r="T21" s="9">
        <v>44964</v>
      </c>
      <c r="U21" s="8">
        <v>0</v>
      </c>
      <c r="V21" s="9">
        <v>44964</v>
      </c>
      <c r="W21" s="8">
        <v>0</v>
      </c>
      <c r="X21" s="9">
        <v>44964</v>
      </c>
      <c r="Y21" s="8">
        <v>0</v>
      </c>
      <c r="Z21" s="9">
        <v>44964</v>
      </c>
      <c r="AA21" s="8">
        <v>0</v>
      </c>
      <c r="AB21" s="9">
        <v>44964</v>
      </c>
      <c r="AC21" s="8">
        <v>0</v>
      </c>
      <c r="AD21" s="8">
        <v>0</v>
      </c>
      <c r="AE21" s="8">
        <v>0</v>
      </c>
      <c r="AF21" s="9">
        <v>44964</v>
      </c>
      <c r="AG21" s="10" t="s">
        <v>189</v>
      </c>
      <c r="AH21" s="9">
        <v>44964</v>
      </c>
      <c r="AI21" s="10" t="s">
        <v>189</v>
      </c>
      <c r="AJ21" s="9">
        <v>44964</v>
      </c>
      <c r="AK21" s="5"/>
    </row>
    <row r="22" spans="1:37" ht="27" customHeight="1">
      <c r="A22" s="1">
        <v>19</v>
      </c>
      <c r="B22" s="5"/>
      <c r="C22" s="5"/>
      <c r="D22" s="5"/>
      <c r="E22" s="2" t="s">
        <v>685</v>
      </c>
      <c r="F22" s="3" t="s">
        <v>686</v>
      </c>
      <c r="G22" s="1"/>
      <c r="H22" s="4">
        <v>1</v>
      </c>
      <c r="I22" s="5"/>
      <c r="J22" s="1"/>
      <c r="K22" s="5"/>
      <c r="L22" s="6"/>
      <c r="M22" s="5"/>
      <c r="N22" s="7">
        <v>3.14</v>
      </c>
      <c r="O22" s="8">
        <v>1</v>
      </c>
      <c r="P22" s="9">
        <v>44964</v>
      </c>
      <c r="Q22" s="8">
        <v>0</v>
      </c>
      <c r="R22" s="9">
        <v>44964</v>
      </c>
      <c r="S22" s="8">
        <v>0</v>
      </c>
      <c r="T22" s="9">
        <v>44964</v>
      </c>
      <c r="U22" s="8">
        <v>0</v>
      </c>
      <c r="V22" s="9">
        <v>44964</v>
      </c>
      <c r="W22" s="8">
        <v>0</v>
      </c>
      <c r="X22" s="9">
        <v>44964</v>
      </c>
      <c r="Y22" s="8">
        <v>0</v>
      </c>
      <c r="Z22" s="9">
        <v>44964</v>
      </c>
      <c r="AA22" s="8">
        <v>0</v>
      </c>
      <c r="AB22" s="9">
        <v>44964</v>
      </c>
      <c r="AC22" s="8">
        <v>0</v>
      </c>
      <c r="AD22" s="8">
        <v>0</v>
      </c>
      <c r="AE22" s="8">
        <v>0</v>
      </c>
      <c r="AF22" s="9">
        <v>44964</v>
      </c>
      <c r="AG22" s="10" t="s">
        <v>189</v>
      </c>
      <c r="AH22" s="9">
        <v>44964</v>
      </c>
      <c r="AI22" s="10" t="s">
        <v>189</v>
      </c>
      <c r="AJ22" s="9">
        <v>44964</v>
      </c>
      <c r="AK22" s="5"/>
    </row>
    <row r="23" spans="1:37" ht="27" customHeight="1">
      <c r="A23" s="1">
        <v>20</v>
      </c>
      <c r="B23" s="5"/>
      <c r="C23" s="5"/>
      <c r="D23" s="5"/>
      <c r="E23" s="2" t="s">
        <v>687</v>
      </c>
      <c r="F23" s="3" t="s">
        <v>688</v>
      </c>
      <c r="G23" s="1"/>
      <c r="H23" s="4">
        <v>1</v>
      </c>
      <c r="I23" s="5"/>
      <c r="J23" s="1"/>
      <c r="K23" s="5"/>
      <c r="L23" s="6"/>
      <c r="M23" s="5"/>
      <c r="N23" s="7">
        <v>3.18</v>
      </c>
      <c r="O23" s="8">
        <v>1</v>
      </c>
      <c r="P23" s="9">
        <v>44964</v>
      </c>
      <c r="Q23" s="8">
        <v>0</v>
      </c>
      <c r="R23" s="9">
        <v>44964</v>
      </c>
      <c r="S23" s="8">
        <v>0</v>
      </c>
      <c r="T23" s="9">
        <v>44964</v>
      </c>
      <c r="U23" s="8">
        <v>0</v>
      </c>
      <c r="V23" s="9">
        <v>44964</v>
      </c>
      <c r="W23" s="8">
        <v>0</v>
      </c>
      <c r="X23" s="9">
        <v>44964</v>
      </c>
      <c r="Y23" s="8">
        <v>0</v>
      </c>
      <c r="Z23" s="9">
        <v>44964</v>
      </c>
      <c r="AA23" s="8">
        <v>0</v>
      </c>
      <c r="AB23" s="9">
        <v>44964</v>
      </c>
      <c r="AC23" s="8">
        <v>0</v>
      </c>
      <c r="AD23" s="8">
        <v>0</v>
      </c>
      <c r="AE23" s="8">
        <v>0</v>
      </c>
      <c r="AF23" s="9">
        <v>44964</v>
      </c>
      <c r="AG23" s="10" t="s">
        <v>189</v>
      </c>
      <c r="AH23" s="9">
        <v>44964</v>
      </c>
      <c r="AI23" s="10" t="s">
        <v>189</v>
      </c>
      <c r="AJ23" s="9">
        <v>44964</v>
      </c>
      <c r="AK23" s="5"/>
    </row>
    <row r="24" spans="1:37" ht="27" customHeight="1">
      <c r="A24" s="1">
        <v>21</v>
      </c>
      <c r="B24" s="5"/>
      <c r="C24" s="5"/>
      <c r="D24" s="5"/>
      <c r="E24" s="2" t="s">
        <v>689</v>
      </c>
      <c r="F24" s="3" t="s">
        <v>690</v>
      </c>
      <c r="G24" s="1"/>
      <c r="H24" s="4">
        <v>1</v>
      </c>
      <c r="I24" s="5"/>
      <c r="J24" s="1"/>
      <c r="K24" s="5"/>
      <c r="L24" s="6"/>
      <c r="M24" s="5"/>
      <c r="N24" s="7">
        <v>3.15</v>
      </c>
      <c r="O24" s="8">
        <v>1</v>
      </c>
      <c r="P24" s="9">
        <v>44964</v>
      </c>
      <c r="Q24" s="8">
        <v>0</v>
      </c>
      <c r="R24" s="9">
        <v>44964</v>
      </c>
      <c r="S24" s="8">
        <v>0</v>
      </c>
      <c r="T24" s="9">
        <v>44964</v>
      </c>
      <c r="U24" s="8">
        <v>0</v>
      </c>
      <c r="V24" s="9">
        <v>44964</v>
      </c>
      <c r="W24" s="8">
        <v>0</v>
      </c>
      <c r="X24" s="9">
        <v>44964</v>
      </c>
      <c r="Y24" s="8">
        <v>0</v>
      </c>
      <c r="Z24" s="9">
        <v>44964</v>
      </c>
      <c r="AA24" s="8">
        <v>0</v>
      </c>
      <c r="AB24" s="9">
        <v>44964</v>
      </c>
      <c r="AC24" s="8">
        <v>0</v>
      </c>
      <c r="AD24" s="8">
        <v>0</v>
      </c>
      <c r="AE24" s="8">
        <v>0</v>
      </c>
      <c r="AF24" s="9">
        <v>44964</v>
      </c>
      <c r="AG24" s="10" t="s">
        <v>189</v>
      </c>
      <c r="AH24" s="9">
        <v>44964</v>
      </c>
      <c r="AI24" s="10" t="s">
        <v>189</v>
      </c>
      <c r="AJ24" s="9">
        <v>44964</v>
      </c>
      <c r="AK24" s="5"/>
    </row>
    <row r="25" spans="1:37" ht="27" customHeight="1">
      <c r="A25" s="1">
        <v>22</v>
      </c>
      <c r="B25" s="5"/>
      <c r="C25" s="5"/>
      <c r="D25" s="5"/>
      <c r="E25" s="2" t="s">
        <v>691</v>
      </c>
      <c r="F25" s="3" t="s">
        <v>692</v>
      </c>
      <c r="G25" s="1"/>
      <c r="H25" s="4">
        <v>1</v>
      </c>
      <c r="I25" s="5"/>
      <c r="J25" s="1"/>
      <c r="K25" s="5"/>
      <c r="L25" s="6"/>
      <c r="M25" s="5"/>
      <c r="N25" s="7">
        <v>3.15</v>
      </c>
      <c r="O25" s="8">
        <v>0</v>
      </c>
      <c r="P25" s="9">
        <v>44964</v>
      </c>
      <c r="Q25" s="8">
        <v>0</v>
      </c>
      <c r="R25" s="9">
        <v>44964</v>
      </c>
      <c r="S25" s="8">
        <v>0</v>
      </c>
      <c r="T25" s="9">
        <v>44964</v>
      </c>
      <c r="U25" s="8">
        <v>0</v>
      </c>
      <c r="V25" s="9">
        <v>44964</v>
      </c>
      <c r="W25" s="8">
        <v>0</v>
      </c>
      <c r="X25" s="9">
        <v>44964</v>
      </c>
      <c r="Y25" s="8">
        <v>0</v>
      </c>
      <c r="Z25" s="9">
        <v>44964</v>
      </c>
      <c r="AA25" s="8">
        <v>0</v>
      </c>
      <c r="AB25" s="9">
        <v>44964</v>
      </c>
      <c r="AC25" s="8">
        <v>0</v>
      </c>
      <c r="AD25" s="8">
        <v>0</v>
      </c>
      <c r="AE25" s="8">
        <v>0</v>
      </c>
      <c r="AF25" s="9">
        <v>44964</v>
      </c>
      <c r="AG25" s="10" t="s">
        <v>189</v>
      </c>
      <c r="AH25" s="9">
        <v>44964</v>
      </c>
      <c r="AI25" s="10" t="s">
        <v>189</v>
      </c>
      <c r="AJ25" s="9">
        <v>44964</v>
      </c>
      <c r="AK25" s="5"/>
    </row>
    <row r="26" spans="1:37" ht="27" customHeight="1">
      <c r="A26" s="1">
        <v>23</v>
      </c>
      <c r="B26" s="5"/>
      <c r="C26" s="5"/>
      <c r="D26" s="5"/>
      <c r="E26" s="2" t="s">
        <v>693</v>
      </c>
      <c r="F26" s="3" t="s">
        <v>694</v>
      </c>
      <c r="G26" s="1"/>
      <c r="H26" s="4">
        <v>1</v>
      </c>
      <c r="I26" s="5"/>
      <c r="J26" s="1"/>
      <c r="K26" s="5"/>
      <c r="L26" s="6"/>
      <c r="M26" s="5"/>
      <c r="N26" s="7">
        <v>3.15</v>
      </c>
      <c r="O26" s="8">
        <v>1</v>
      </c>
      <c r="P26" s="9">
        <v>44964</v>
      </c>
      <c r="Q26" s="8">
        <v>0</v>
      </c>
      <c r="R26" s="9">
        <v>44964</v>
      </c>
      <c r="S26" s="8">
        <v>0</v>
      </c>
      <c r="T26" s="9">
        <v>44964</v>
      </c>
      <c r="U26" s="8">
        <v>0</v>
      </c>
      <c r="V26" s="9">
        <v>44964</v>
      </c>
      <c r="W26" s="8">
        <v>0</v>
      </c>
      <c r="X26" s="9">
        <v>44964</v>
      </c>
      <c r="Y26" s="8">
        <v>0</v>
      </c>
      <c r="Z26" s="9">
        <v>44964</v>
      </c>
      <c r="AA26" s="8">
        <v>0</v>
      </c>
      <c r="AB26" s="9">
        <v>44964</v>
      </c>
      <c r="AC26" s="8">
        <v>0</v>
      </c>
      <c r="AD26" s="8">
        <v>0</v>
      </c>
      <c r="AE26" s="8">
        <v>0</v>
      </c>
      <c r="AF26" s="9">
        <v>44964</v>
      </c>
      <c r="AG26" s="10" t="s">
        <v>189</v>
      </c>
      <c r="AH26" s="9">
        <v>44964</v>
      </c>
      <c r="AI26" s="10" t="s">
        <v>189</v>
      </c>
      <c r="AJ26" s="9">
        <v>44964</v>
      </c>
      <c r="AK26" s="5"/>
    </row>
    <row r="27" spans="1:37" ht="27" customHeight="1">
      <c r="A27" s="1">
        <v>24</v>
      </c>
      <c r="B27" s="5"/>
      <c r="C27" s="5"/>
      <c r="D27" s="5"/>
      <c r="E27" s="2" t="s">
        <v>695</v>
      </c>
      <c r="F27" s="3" t="s">
        <v>696</v>
      </c>
      <c r="G27" s="1"/>
      <c r="H27" s="4">
        <v>1</v>
      </c>
      <c r="I27" s="5"/>
      <c r="J27" s="1"/>
      <c r="K27" s="5"/>
      <c r="L27" s="6"/>
      <c r="M27" s="5"/>
      <c r="N27" s="7">
        <v>3.15</v>
      </c>
      <c r="O27" s="8">
        <v>1</v>
      </c>
      <c r="P27" s="9">
        <v>44964</v>
      </c>
      <c r="Q27" s="8">
        <v>0</v>
      </c>
      <c r="R27" s="9">
        <v>44964</v>
      </c>
      <c r="S27" s="8">
        <v>0</v>
      </c>
      <c r="T27" s="9">
        <v>44964</v>
      </c>
      <c r="U27" s="8">
        <v>0</v>
      </c>
      <c r="V27" s="9">
        <v>44964</v>
      </c>
      <c r="W27" s="8">
        <v>0</v>
      </c>
      <c r="X27" s="9">
        <v>44964</v>
      </c>
      <c r="Y27" s="8">
        <v>0</v>
      </c>
      <c r="Z27" s="9">
        <v>44964</v>
      </c>
      <c r="AA27" s="8">
        <v>0</v>
      </c>
      <c r="AB27" s="9">
        <v>44964</v>
      </c>
      <c r="AC27" s="8">
        <v>0</v>
      </c>
      <c r="AD27" s="8">
        <v>0</v>
      </c>
      <c r="AE27" s="8">
        <v>0</v>
      </c>
      <c r="AF27" s="9">
        <v>44964</v>
      </c>
      <c r="AG27" s="10" t="s">
        <v>189</v>
      </c>
      <c r="AH27" s="9">
        <v>44964</v>
      </c>
      <c r="AI27" s="10" t="s">
        <v>189</v>
      </c>
      <c r="AJ27" s="9">
        <v>44964</v>
      </c>
      <c r="AK27" s="5"/>
    </row>
    <row r="28" spans="1:37" ht="27" customHeight="1">
      <c r="A28" s="1">
        <v>25</v>
      </c>
      <c r="B28" s="5"/>
      <c r="C28" s="5"/>
      <c r="D28" s="5"/>
      <c r="E28" s="2" t="s">
        <v>697</v>
      </c>
      <c r="F28" s="3" t="s">
        <v>698</v>
      </c>
      <c r="G28" s="1"/>
      <c r="H28" s="4">
        <v>1</v>
      </c>
      <c r="I28" s="5"/>
      <c r="J28" s="1"/>
      <c r="K28" s="5"/>
      <c r="L28" s="6"/>
      <c r="M28" s="5"/>
      <c r="N28" s="7">
        <v>3.15</v>
      </c>
      <c r="O28" s="8">
        <v>1</v>
      </c>
      <c r="P28" s="9">
        <v>44964</v>
      </c>
      <c r="Q28" s="8">
        <v>0</v>
      </c>
      <c r="R28" s="9">
        <v>44964</v>
      </c>
      <c r="S28" s="8">
        <v>0</v>
      </c>
      <c r="T28" s="9">
        <v>44964</v>
      </c>
      <c r="U28" s="8">
        <v>0</v>
      </c>
      <c r="V28" s="9">
        <v>44964</v>
      </c>
      <c r="W28" s="8">
        <v>0</v>
      </c>
      <c r="X28" s="9">
        <v>44964</v>
      </c>
      <c r="Y28" s="8">
        <v>0</v>
      </c>
      <c r="Z28" s="9">
        <v>44964</v>
      </c>
      <c r="AA28" s="8">
        <v>0</v>
      </c>
      <c r="AB28" s="9">
        <v>44964</v>
      </c>
      <c r="AC28" s="8">
        <v>0</v>
      </c>
      <c r="AD28" s="8">
        <v>0</v>
      </c>
      <c r="AE28" s="8">
        <v>0</v>
      </c>
      <c r="AF28" s="9">
        <v>44964</v>
      </c>
      <c r="AG28" s="10" t="s">
        <v>189</v>
      </c>
      <c r="AH28" s="9">
        <v>44964</v>
      </c>
      <c r="AI28" s="10" t="s">
        <v>189</v>
      </c>
      <c r="AJ28" s="9">
        <v>44964</v>
      </c>
      <c r="AK28" s="5"/>
    </row>
    <row r="29" spans="1:37" ht="27" customHeight="1">
      <c r="A29" s="1">
        <v>26</v>
      </c>
      <c r="B29" s="5"/>
      <c r="C29" s="5"/>
      <c r="D29" s="5"/>
      <c r="E29" s="2" t="s">
        <v>699</v>
      </c>
      <c r="F29" s="3" t="s">
        <v>700</v>
      </c>
      <c r="G29" s="1"/>
      <c r="H29" s="4">
        <v>1</v>
      </c>
      <c r="I29" s="5"/>
      <c r="J29" s="1"/>
      <c r="K29" s="5"/>
      <c r="L29" s="6"/>
      <c r="M29" s="5"/>
      <c r="N29" s="7">
        <v>3.18</v>
      </c>
      <c r="O29" s="8">
        <v>0</v>
      </c>
      <c r="P29" s="9">
        <v>44964</v>
      </c>
      <c r="Q29" s="8">
        <v>0</v>
      </c>
      <c r="R29" s="9">
        <v>44964</v>
      </c>
      <c r="S29" s="8">
        <v>0</v>
      </c>
      <c r="T29" s="9">
        <v>44964</v>
      </c>
      <c r="U29" s="8">
        <v>0</v>
      </c>
      <c r="V29" s="9">
        <v>44964</v>
      </c>
      <c r="W29" s="8">
        <v>0</v>
      </c>
      <c r="X29" s="9">
        <v>44964</v>
      </c>
      <c r="Y29" s="8">
        <v>0</v>
      </c>
      <c r="Z29" s="9">
        <v>44964</v>
      </c>
      <c r="AA29" s="8">
        <v>0</v>
      </c>
      <c r="AB29" s="9">
        <v>44964</v>
      </c>
      <c r="AC29" s="8">
        <v>0</v>
      </c>
      <c r="AD29" s="8">
        <v>0</v>
      </c>
      <c r="AE29" s="8">
        <v>0</v>
      </c>
      <c r="AF29" s="9">
        <v>44964</v>
      </c>
      <c r="AG29" s="10" t="s">
        <v>189</v>
      </c>
      <c r="AH29" s="9">
        <v>44964</v>
      </c>
      <c r="AI29" s="10" t="s">
        <v>189</v>
      </c>
      <c r="AJ29" s="9">
        <v>44964</v>
      </c>
      <c r="AK29" s="5"/>
    </row>
    <row r="30" spans="1:37" ht="27" customHeight="1">
      <c r="A30" s="1">
        <v>27</v>
      </c>
      <c r="B30" s="5"/>
      <c r="C30" s="5"/>
      <c r="D30" s="5"/>
      <c r="E30" s="2" t="s">
        <v>701</v>
      </c>
      <c r="F30" s="3" t="s">
        <v>702</v>
      </c>
      <c r="G30" s="1"/>
      <c r="H30" s="4">
        <v>1</v>
      </c>
      <c r="I30" s="5"/>
      <c r="J30" s="1"/>
      <c r="K30" s="5"/>
      <c r="L30" s="6"/>
      <c r="M30" s="5"/>
      <c r="N30" s="7">
        <v>3.14</v>
      </c>
      <c r="O30" s="8">
        <v>1</v>
      </c>
      <c r="P30" s="9">
        <v>44964</v>
      </c>
      <c r="Q30" s="8">
        <v>0</v>
      </c>
      <c r="R30" s="9">
        <v>44964</v>
      </c>
      <c r="S30" s="8">
        <v>0</v>
      </c>
      <c r="T30" s="9">
        <v>44964</v>
      </c>
      <c r="U30" s="8">
        <v>0</v>
      </c>
      <c r="V30" s="9">
        <v>44964</v>
      </c>
      <c r="W30" s="8">
        <v>0</v>
      </c>
      <c r="X30" s="9">
        <v>44964</v>
      </c>
      <c r="Y30" s="8">
        <v>0</v>
      </c>
      <c r="Z30" s="9">
        <v>44964</v>
      </c>
      <c r="AA30" s="8">
        <v>0</v>
      </c>
      <c r="AB30" s="9">
        <v>44964</v>
      </c>
      <c r="AC30" s="8">
        <v>0</v>
      </c>
      <c r="AD30" s="8">
        <v>0</v>
      </c>
      <c r="AE30" s="8">
        <v>0</v>
      </c>
      <c r="AF30" s="9">
        <v>44964</v>
      </c>
      <c r="AG30" s="10" t="s">
        <v>189</v>
      </c>
      <c r="AH30" s="9">
        <v>44964</v>
      </c>
      <c r="AI30" s="10" t="s">
        <v>189</v>
      </c>
      <c r="AJ30" s="9">
        <v>44964</v>
      </c>
      <c r="AK30" s="5"/>
    </row>
    <row r="31" spans="1:37" ht="27" customHeight="1">
      <c r="A31" s="1">
        <v>28</v>
      </c>
      <c r="B31" s="5"/>
      <c r="C31" s="5"/>
      <c r="D31" s="5"/>
      <c r="E31" s="2" t="s">
        <v>703</v>
      </c>
      <c r="F31" s="3" t="s">
        <v>704</v>
      </c>
      <c r="G31" s="1"/>
      <c r="H31" s="4">
        <v>1</v>
      </c>
      <c r="I31" s="5"/>
      <c r="J31" s="1"/>
      <c r="K31" s="5"/>
      <c r="L31" s="6"/>
      <c r="M31" s="5"/>
      <c r="N31" s="7">
        <v>3.14</v>
      </c>
      <c r="O31" s="8">
        <v>1</v>
      </c>
      <c r="P31" s="9">
        <v>44964</v>
      </c>
      <c r="Q31" s="8">
        <v>0</v>
      </c>
      <c r="R31" s="9">
        <v>44964</v>
      </c>
      <c r="S31" s="8">
        <v>0</v>
      </c>
      <c r="T31" s="9">
        <v>44964</v>
      </c>
      <c r="U31" s="8">
        <v>0</v>
      </c>
      <c r="V31" s="9">
        <v>44964</v>
      </c>
      <c r="W31" s="8">
        <v>0</v>
      </c>
      <c r="X31" s="9">
        <v>44964</v>
      </c>
      <c r="Y31" s="8">
        <v>0</v>
      </c>
      <c r="Z31" s="9">
        <v>44964</v>
      </c>
      <c r="AA31" s="8">
        <v>0</v>
      </c>
      <c r="AB31" s="9">
        <v>44964</v>
      </c>
      <c r="AC31" s="8">
        <v>0</v>
      </c>
      <c r="AD31" s="8">
        <v>0</v>
      </c>
      <c r="AE31" s="8">
        <v>0</v>
      </c>
      <c r="AF31" s="9">
        <v>44964</v>
      </c>
      <c r="AG31" s="10" t="s">
        <v>189</v>
      </c>
      <c r="AH31" s="9">
        <v>44964</v>
      </c>
      <c r="AI31" s="10" t="s">
        <v>189</v>
      </c>
      <c r="AJ31" s="9">
        <v>44964</v>
      </c>
      <c r="AK31" s="5"/>
    </row>
    <row r="32" spans="1:37" ht="27" customHeight="1">
      <c r="A32" s="1">
        <v>29</v>
      </c>
      <c r="B32" s="5"/>
      <c r="C32" s="5"/>
      <c r="D32" s="5"/>
      <c r="E32" s="2" t="s">
        <v>705</v>
      </c>
      <c r="F32" s="3" t="s">
        <v>706</v>
      </c>
      <c r="G32" s="1"/>
      <c r="H32" s="4">
        <v>1</v>
      </c>
      <c r="I32" s="5"/>
      <c r="J32" s="1"/>
      <c r="K32" s="5"/>
      <c r="L32" s="6"/>
      <c r="M32" s="5"/>
      <c r="N32" s="7">
        <v>3.14</v>
      </c>
      <c r="O32" s="8">
        <v>1</v>
      </c>
      <c r="P32" s="9">
        <v>44964</v>
      </c>
      <c r="Q32" s="8">
        <v>0</v>
      </c>
      <c r="R32" s="9">
        <v>44964</v>
      </c>
      <c r="S32" s="8">
        <v>0</v>
      </c>
      <c r="T32" s="9">
        <v>44964</v>
      </c>
      <c r="U32" s="8">
        <v>0</v>
      </c>
      <c r="V32" s="9">
        <v>44964</v>
      </c>
      <c r="W32" s="8">
        <v>0</v>
      </c>
      <c r="X32" s="9">
        <v>44964</v>
      </c>
      <c r="Y32" s="8">
        <v>0</v>
      </c>
      <c r="Z32" s="9">
        <v>44964</v>
      </c>
      <c r="AA32" s="8">
        <v>0</v>
      </c>
      <c r="AB32" s="9">
        <v>44964</v>
      </c>
      <c r="AC32" s="8">
        <v>0</v>
      </c>
      <c r="AD32" s="8">
        <v>0</v>
      </c>
      <c r="AE32" s="8">
        <v>0</v>
      </c>
      <c r="AF32" s="9">
        <v>44964</v>
      </c>
      <c r="AG32" s="10" t="s">
        <v>189</v>
      </c>
      <c r="AH32" s="9">
        <v>44964</v>
      </c>
      <c r="AI32" s="10" t="s">
        <v>189</v>
      </c>
      <c r="AJ32" s="9">
        <v>44964</v>
      </c>
      <c r="AK32" s="5"/>
    </row>
    <row r="33" spans="1:37" ht="27" customHeight="1">
      <c r="A33" s="1">
        <v>30</v>
      </c>
      <c r="B33" s="5"/>
      <c r="C33" s="5"/>
      <c r="D33" s="5"/>
      <c r="E33" s="2" t="s">
        <v>707</v>
      </c>
      <c r="F33" s="3" t="s">
        <v>708</v>
      </c>
      <c r="G33" s="1"/>
      <c r="H33" s="4">
        <v>1</v>
      </c>
      <c r="I33" s="5"/>
      <c r="J33" s="1"/>
      <c r="K33" s="5"/>
      <c r="L33" s="6"/>
      <c r="M33" s="5"/>
      <c r="N33" s="7">
        <v>3.14</v>
      </c>
      <c r="O33" s="8">
        <v>1</v>
      </c>
      <c r="P33" s="9">
        <v>44964</v>
      </c>
      <c r="Q33" s="8">
        <v>0</v>
      </c>
      <c r="R33" s="9">
        <v>44964</v>
      </c>
      <c r="S33" s="8">
        <v>0</v>
      </c>
      <c r="T33" s="9">
        <v>44964</v>
      </c>
      <c r="U33" s="8">
        <v>0</v>
      </c>
      <c r="V33" s="9">
        <v>44964</v>
      </c>
      <c r="W33" s="8">
        <v>0</v>
      </c>
      <c r="X33" s="9">
        <v>44964</v>
      </c>
      <c r="Y33" s="8">
        <v>0</v>
      </c>
      <c r="Z33" s="9">
        <v>44964</v>
      </c>
      <c r="AA33" s="8">
        <v>0</v>
      </c>
      <c r="AB33" s="9">
        <v>44964</v>
      </c>
      <c r="AC33" s="8">
        <v>0</v>
      </c>
      <c r="AD33" s="8">
        <v>0</v>
      </c>
      <c r="AE33" s="8">
        <v>0</v>
      </c>
      <c r="AF33" s="9">
        <v>44964</v>
      </c>
      <c r="AG33" s="10" t="s">
        <v>189</v>
      </c>
      <c r="AH33" s="9">
        <v>44964</v>
      </c>
      <c r="AI33" s="10" t="s">
        <v>189</v>
      </c>
      <c r="AJ33" s="9">
        <v>44964</v>
      </c>
      <c r="AK33" s="5"/>
    </row>
    <row r="34" spans="1:37" ht="27" customHeight="1">
      <c r="A34" s="1">
        <v>31</v>
      </c>
      <c r="B34" s="5"/>
      <c r="C34" s="5"/>
      <c r="D34" s="5"/>
      <c r="E34" s="2" t="s">
        <v>709</v>
      </c>
      <c r="F34" s="3" t="s">
        <v>710</v>
      </c>
      <c r="G34" s="1"/>
      <c r="H34" s="4">
        <v>1</v>
      </c>
      <c r="I34" s="5"/>
      <c r="J34" s="1"/>
      <c r="K34" s="5"/>
      <c r="L34" s="6"/>
      <c r="M34" s="5"/>
      <c r="N34" s="7">
        <v>3.18</v>
      </c>
      <c r="O34" s="8">
        <v>0</v>
      </c>
      <c r="P34" s="9">
        <v>44964</v>
      </c>
      <c r="Q34" s="8">
        <v>0</v>
      </c>
      <c r="R34" s="9">
        <v>44964</v>
      </c>
      <c r="S34" s="8">
        <v>0</v>
      </c>
      <c r="T34" s="9">
        <v>44964</v>
      </c>
      <c r="U34" s="8">
        <v>0</v>
      </c>
      <c r="V34" s="9">
        <v>44964</v>
      </c>
      <c r="W34" s="8">
        <v>0</v>
      </c>
      <c r="X34" s="9">
        <v>44964</v>
      </c>
      <c r="Y34" s="8">
        <v>0</v>
      </c>
      <c r="Z34" s="9">
        <v>44964</v>
      </c>
      <c r="AA34" s="8">
        <v>0</v>
      </c>
      <c r="AB34" s="9">
        <v>44964</v>
      </c>
      <c r="AC34" s="8">
        <v>0</v>
      </c>
      <c r="AD34" s="8">
        <v>0</v>
      </c>
      <c r="AE34" s="8">
        <v>0</v>
      </c>
      <c r="AF34" s="9">
        <v>44964</v>
      </c>
      <c r="AG34" s="10" t="s">
        <v>189</v>
      </c>
      <c r="AH34" s="9">
        <v>44964</v>
      </c>
      <c r="AI34" s="10" t="s">
        <v>189</v>
      </c>
      <c r="AJ34" s="9">
        <v>44964</v>
      </c>
      <c r="AK34" s="5"/>
    </row>
    <row r="35" spans="1:37" ht="27" customHeight="1">
      <c r="A35" s="1">
        <v>32</v>
      </c>
      <c r="B35" s="5"/>
      <c r="C35" s="5"/>
      <c r="D35" s="5"/>
      <c r="E35" s="2" t="s">
        <v>711</v>
      </c>
      <c r="F35" s="3" t="s">
        <v>712</v>
      </c>
      <c r="G35" s="1"/>
      <c r="H35" s="4">
        <v>1</v>
      </c>
      <c r="I35" s="5"/>
      <c r="J35" s="1"/>
      <c r="K35" s="5"/>
      <c r="L35" s="6"/>
      <c r="M35" s="5"/>
      <c r="N35" s="7">
        <v>3.18</v>
      </c>
      <c r="O35" s="8">
        <v>0</v>
      </c>
      <c r="P35" s="9">
        <v>44964</v>
      </c>
      <c r="Q35" s="8">
        <v>0</v>
      </c>
      <c r="R35" s="9">
        <v>44964</v>
      </c>
      <c r="S35" s="8">
        <v>0</v>
      </c>
      <c r="T35" s="9">
        <v>44964</v>
      </c>
      <c r="U35" s="8">
        <v>0</v>
      </c>
      <c r="V35" s="9">
        <v>44964</v>
      </c>
      <c r="W35" s="8">
        <v>0</v>
      </c>
      <c r="X35" s="9">
        <v>44964</v>
      </c>
      <c r="Y35" s="8">
        <v>0</v>
      </c>
      <c r="Z35" s="9">
        <v>44964</v>
      </c>
      <c r="AA35" s="8">
        <v>0</v>
      </c>
      <c r="AB35" s="9">
        <v>44964</v>
      </c>
      <c r="AC35" s="8">
        <v>0</v>
      </c>
      <c r="AD35" s="8">
        <v>0</v>
      </c>
      <c r="AE35" s="8">
        <v>0</v>
      </c>
      <c r="AF35" s="9">
        <v>44964</v>
      </c>
      <c r="AG35" s="10" t="s">
        <v>189</v>
      </c>
      <c r="AH35" s="9">
        <v>44964</v>
      </c>
      <c r="AI35" s="10" t="s">
        <v>189</v>
      </c>
      <c r="AJ35" s="9">
        <v>44964</v>
      </c>
      <c r="AK35" s="5"/>
    </row>
    <row r="36" spans="1:37" ht="27" customHeight="1">
      <c r="A36" s="1">
        <v>33</v>
      </c>
      <c r="B36" s="5"/>
      <c r="C36" s="5"/>
      <c r="D36" s="5"/>
      <c r="E36" s="2" t="s">
        <v>713</v>
      </c>
      <c r="F36" s="3" t="s">
        <v>714</v>
      </c>
      <c r="G36" s="1"/>
      <c r="H36" s="4">
        <v>1</v>
      </c>
      <c r="I36" s="5"/>
      <c r="J36" s="1"/>
      <c r="K36" s="5"/>
      <c r="L36" s="6"/>
      <c r="M36" s="5"/>
      <c r="N36" s="7">
        <v>3.14</v>
      </c>
      <c r="O36" s="8">
        <v>1</v>
      </c>
      <c r="P36" s="9">
        <v>44964</v>
      </c>
      <c r="Q36" s="8">
        <v>0</v>
      </c>
      <c r="R36" s="9">
        <v>44964</v>
      </c>
      <c r="S36" s="8">
        <v>0</v>
      </c>
      <c r="T36" s="9">
        <v>44964</v>
      </c>
      <c r="U36" s="8">
        <v>0</v>
      </c>
      <c r="V36" s="9">
        <v>44964</v>
      </c>
      <c r="W36" s="8">
        <v>0</v>
      </c>
      <c r="X36" s="9">
        <v>44964</v>
      </c>
      <c r="Y36" s="8">
        <v>0</v>
      </c>
      <c r="Z36" s="9">
        <v>44964</v>
      </c>
      <c r="AA36" s="8">
        <v>0</v>
      </c>
      <c r="AB36" s="9">
        <v>44964</v>
      </c>
      <c r="AC36" s="8">
        <v>0</v>
      </c>
      <c r="AD36" s="8">
        <v>0</v>
      </c>
      <c r="AE36" s="8">
        <v>0</v>
      </c>
      <c r="AF36" s="9">
        <v>44964</v>
      </c>
      <c r="AG36" s="10" t="s">
        <v>189</v>
      </c>
      <c r="AH36" s="9">
        <v>44964</v>
      </c>
      <c r="AI36" s="10" t="s">
        <v>189</v>
      </c>
      <c r="AJ36" s="9">
        <v>44964</v>
      </c>
      <c r="AK36" s="5"/>
    </row>
    <row r="37" spans="1:37" ht="27" customHeight="1">
      <c r="A37" s="1">
        <v>34</v>
      </c>
      <c r="B37" s="5"/>
      <c r="C37" s="5"/>
      <c r="D37" s="5"/>
      <c r="E37" s="11" t="s">
        <v>715</v>
      </c>
      <c r="F37" s="11" t="s">
        <v>716</v>
      </c>
      <c r="G37" s="1"/>
      <c r="H37" s="12">
        <v>1</v>
      </c>
      <c r="I37" s="5"/>
      <c r="J37" s="1"/>
      <c r="K37" s="5"/>
      <c r="L37" s="6"/>
      <c r="M37" s="5"/>
      <c r="N37" s="7">
        <v>3.14</v>
      </c>
      <c r="O37" s="8">
        <v>1</v>
      </c>
      <c r="P37" s="9">
        <v>44964</v>
      </c>
      <c r="Q37" s="8">
        <v>0</v>
      </c>
      <c r="R37" s="9">
        <v>44964</v>
      </c>
      <c r="S37" s="8">
        <v>0</v>
      </c>
      <c r="T37" s="9">
        <v>44964</v>
      </c>
      <c r="U37" s="8">
        <v>0</v>
      </c>
      <c r="V37" s="9">
        <v>44964</v>
      </c>
      <c r="W37" s="8">
        <v>0</v>
      </c>
      <c r="X37" s="9">
        <v>44964</v>
      </c>
      <c r="Y37" s="8">
        <v>0</v>
      </c>
      <c r="Z37" s="9">
        <v>44964</v>
      </c>
      <c r="AA37" s="8">
        <v>0</v>
      </c>
      <c r="AB37" s="9">
        <v>44964</v>
      </c>
      <c r="AC37" s="8">
        <v>0</v>
      </c>
      <c r="AD37" s="8">
        <v>0</v>
      </c>
      <c r="AE37" s="8">
        <v>0</v>
      </c>
      <c r="AF37" s="9">
        <v>44964</v>
      </c>
      <c r="AG37" s="10" t="s">
        <v>189</v>
      </c>
      <c r="AH37" s="9">
        <v>44964</v>
      </c>
      <c r="AI37" s="10" t="s">
        <v>189</v>
      </c>
      <c r="AJ37" s="9">
        <v>44964</v>
      </c>
      <c r="AK37" s="5"/>
    </row>
    <row r="38" spans="1:37" ht="27" customHeight="1">
      <c r="A38" s="5"/>
      <c r="B38" s="5"/>
      <c r="C38" s="5"/>
      <c r="D38" s="5"/>
      <c r="E38" s="13"/>
      <c r="F38" s="14"/>
      <c r="G38" s="1"/>
      <c r="H38" s="14"/>
      <c r="I38" s="5"/>
      <c r="J38" s="1"/>
      <c r="K38" s="5"/>
      <c r="L38" s="6"/>
      <c r="M38" s="5"/>
      <c r="N38" s="15"/>
      <c r="O38" s="16"/>
      <c r="P38" s="9"/>
      <c r="Q38" s="8"/>
      <c r="R38" s="9"/>
      <c r="S38" s="8"/>
      <c r="T38" s="9"/>
      <c r="U38" s="8"/>
      <c r="V38" s="9"/>
      <c r="W38" s="8"/>
      <c r="X38" s="9"/>
      <c r="Y38" s="8"/>
      <c r="Z38" s="9"/>
      <c r="AA38" s="8"/>
      <c r="AB38" s="9"/>
      <c r="AC38" s="8"/>
      <c r="AD38" s="8"/>
      <c r="AE38" s="8"/>
      <c r="AF38" s="9"/>
      <c r="AG38" s="10"/>
      <c r="AH38" s="9"/>
      <c r="AI38" s="10"/>
      <c r="AJ38" s="9"/>
      <c r="AK38" s="5"/>
    </row>
    <row r="39" spans="1:37" ht="27" customHeight="1">
      <c r="A39" s="5"/>
      <c r="B39" s="5"/>
      <c r="C39" s="5"/>
      <c r="D39" s="5"/>
      <c r="E39" s="13"/>
      <c r="F39" s="14"/>
      <c r="G39" s="1"/>
      <c r="H39" s="14"/>
      <c r="I39" s="5"/>
      <c r="J39" s="1"/>
      <c r="K39" s="5"/>
      <c r="L39" s="6"/>
      <c r="M39" s="5"/>
      <c r="N39" s="15"/>
      <c r="O39" s="8"/>
      <c r="P39" s="9"/>
      <c r="Q39" s="8"/>
      <c r="R39" s="9"/>
      <c r="S39" s="8"/>
      <c r="T39" s="9"/>
      <c r="U39" s="8"/>
      <c r="V39" s="9"/>
      <c r="W39" s="8"/>
      <c r="X39" s="9"/>
      <c r="Y39" s="8"/>
      <c r="Z39" s="9"/>
      <c r="AA39" s="8"/>
      <c r="AB39" s="9"/>
      <c r="AC39" s="8"/>
      <c r="AD39" s="8"/>
      <c r="AE39" s="8"/>
      <c r="AF39" s="9"/>
      <c r="AG39" s="10"/>
      <c r="AH39" s="9"/>
      <c r="AI39" s="10"/>
      <c r="AJ39" s="9"/>
      <c r="AK39" s="5"/>
    </row>
    <row r="40" spans="1:37" ht="27" customHeight="1">
      <c r="A40" s="5"/>
      <c r="B40" s="5"/>
      <c r="C40" s="5"/>
      <c r="D40" s="5"/>
      <c r="E40" s="13"/>
      <c r="F40" s="14"/>
      <c r="G40" s="1"/>
      <c r="H40" s="14"/>
      <c r="I40" s="5"/>
      <c r="J40" s="1"/>
      <c r="K40" s="5"/>
      <c r="L40" s="6"/>
      <c r="M40" s="5"/>
      <c r="N40" s="15"/>
      <c r="O40" s="8"/>
      <c r="P40" s="9"/>
      <c r="Q40" s="8"/>
      <c r="R40" s="9"/>
      <c r="S40" s="8"/>
      <c r="T40" s="9"/>
      <c r="U40" s="8"/>
      <c r="V40" s="9"/>
      <c r="W40" s="8"/>
      <c r="X40" s="9"/>
      <c r="Y40" s="8"/>
      <c r="Z40" s="9"/>
      <c r="AA40" s="8"/>
      <c r="AB40" s="9"/>
      <c r="AC40" s="8"/>
      <c r="AD40" s="8"/>
      <c r="AE40" s="8"/>
      <c r="AF40" s="9"/>
      <c r="AG40" s="10"/>
      <c r="AH40" s="9"/>
      <c r="AI40" s="10"/>
      <c r="AJ40" s="9"/>
      <c r="AK40" s="5"/>
    </row>
    <row r="41" spans="1:37" ht="27" customHeight="1">
      <c r="A41" s="5"/>
      <c r="B41" s="5"/>
      <c r="C41" s="5"/>
      <c r="D41" s="5"/>
      <c r="E41" s="13"/>
      <c r="F41" s="14"/>
      <c r="G41" s="1"/>
      <c r="H41" s="14"/>
      <c r="I41" s="5"/>
      <c r="J41" s="1"/>
      <c r="K41" s="5"/>
      <c r="L41" s="6"/>
      <c r="M41" s="5"/>
      <c r="N41" s="15"/>
      <c r="O41" s="8"/>
      <c r="P41" s="9"/>
      <c r="Q41" s="8"/>
      <c r="R41" s="9"/>
      <c r="S41" s="8"/>
      <c r="T41" s="9"/>
      <c r="U41" s="8"/>
      <c r="V41" s="9"/>
      <c r="W41" s="8"/>
      <c r="X41" s="9"/>
      <c r="Y41" s="8"/>
      <c r="Z41" s="9"/>
      <c r="AA41" s="8"/>
      <c r="AB41" s="9"/>
      <c r="AC41" s="8"/>
      <c r="AD41" s="8"/>
      <c r="AE41" s="8"/>
      <c r="AF41" s="9"/>
      <c r="AG41" s="10"/>
      <c r="AH41" s="9"/>
      <c r="AI41" s="10"/>
      <c r="AJ41" s="9"/>
      <c r="AK41" s="5"/>
    </row>
    <row r="42" spans="1:37" ht="27" customHeight="1">
      <c r="A42" s="5"/>
      <c r="B42" s="5"/>
      <c r="C42" s="5"/>
      <c r="D42" s="5"/>
      <c r="E42" s="13"/>
      <c r="F42" s="14"/>
      <c r="G42" s="1"/>
      <c r="H42" s="14"/>
      <c r="I42" s="5"/>
      <c r="J42" s="1"/>
      <c r="K42" s="5"/>
      <c r="L42" s="6"/>
      <c r="M42" s="5"/>
      <c r="N42" s="15"/>
      <c r="O42" s="8"/>
      <c r="P42" s="9"/>
      <c r="Q42" s="8"/>
      <c r="R42" s="9"/>
      <c r="S42" s="8"/>
      <c r="T42" s="9"/>
      <c r="U42" s="8"/>
      <c r="V42" s="9"/>
      <c r="W42" s="8"/>
      <c r="X42" s="9"/>
      <c r="Y42" s="8"/>
      <c r="Z42" s="9"/>
      <c r="AA42" s="8"/>
      <c r="AB42" s="9"/>
      <c r="AC42" s="8"/>
      <c r="AD42" s="8"/>
      <c r="AE42" s="8"/>
      <c r="AF42" s="9"/>
      <c r="AG42" s="10"/>
      <c r="AH42" s="9"/>
      <c r="AI42" s="10"/>
      <c r="AJ42" s="9"/>
      <c r="AK42" s="5"/>
    </row>
    <row r="43" spans="1:37" ht="27" customHeight="1">
      <c r="A43" s="5"/>
      <c r="B43" s="5"/>
      <c r="C43" s="5"/>
      <c r="D43" s="5"/>
      <c r="E43" s="13"/>
      <c r="F43" s="14"/>
      <c r="G43" s="1"/>
      <c r="H43" s="14"/>
      <c r="I43" s="5"/>
      <c r="J43" s="1"/>
      <c r="K43" s="5"/>
      <c r="L43" s="6"/>
      <c r="M43" s="5"/>
      <c r="N43" s="15"/>
      <c r="O43" s="8"/>
      <c r="P43" s="9"/>
      <c r="Q43" s="8"/>
      <c r="R43" s="9"/>
      <c r="S43" s="8"/>
      <c r="T43" s="9"/>
      <c r="U43" s="8"/>
      <c r="V43" s="9"/>
      <c r="W43" s="8"/>
      <c r="X43" s="9"/>
      <c r="Y43" s="8"/>
      <c r="Z43" s="9"/>
      <c r="AA43" s="8"/>
      <c r="AB43" s="9"/>
      <c r="AC43" s="8"/>
      <c r="AD43" s="8"/>
      <c r="AE43" s="8"/>
      <c r="AF43" s="9"/>
      <c r="AG43" s="10"/>
      <c r="AH43" s="9"/>
      <c r="AI43" s="10"/>
      <c r="AJ43" s="9"/>
      <c r="AK43" s="5"/>
    </row>
    <row r="44" spans="1:37" ht="27" customHeight="1">
      <c r="A44" s="5"/>
      <c r="B44" s="5"/>
      <c r="C44" s="5"/>
      <c r="D44" s="5"/>
      <c r="E44" s="13"/>
      <c r="F44" s="14"/>
      <c r="G44" s="1"/>
      <c r="H44" s="14"/>
      <c r="I44" s="5"/>
      <c r="J44" s="1"/>
      <c r="K44" s="5"/>
      <c r="L44" s="6"/>
      <c r="M44" s="5"/>
      <c r="N44" s="15"/>
      <c r="O44" s="8"/>
      <c r="P44" s="9"/>
      <c r="Q44" s="8"/>
      <c r="R44" s="9"/>
      <c r="S44" s="8"/>
      <c r="T44" s="9"/>
      <c r="U44" s="8"/>
      <c r="V44" s="9"/>
      <c r="W44" s="8"/>
      <c r="X44" s="9"/>
      <c r="Y44" s="8"/>
      <c r="Z44" s="9"/>
      <c r="AA44" s="8"/>
      <c r="AB44" s="9"/>
      <c r="AC44" s="8"/>
      <c r="AD44" s="8"/>
      <c r="AE44" s="8"/>
      <c r="AF44" s="9"/>
      <c r="AG44" s="10"/>
      <c r="AH44" s="9"/>
      <c r="AI44" s="10"/>
      <c r="AJ44" s="9"/>
      <c r="AK44" s="5"/>
    </row>
    <row r="45" spans="1:37" ht="27" customHeight="1">
      <c r="A45" s="5"/>
      <c r="B45" s="5"/>
      <c r="C45" s="5"/>
      <c r="D45" s="5"/>
      <c r="E45" s="13"/>
      <c r="F45" s="14"/>
      <c r="G45" s="1"/>
      <c r="H45" s="14"/>
      <c r="I45" s="5"/>
      <c r="J45" s="1"/>
      <c r="K45" s="5"/>
      <c r="L45" s="6"/>
      <c r="M45" s="5"/>
      <c r="N45" s="15"/>
      <c r="O45" s="8"/>
      <c r="P45" s="9"/>
      <c r="Q45" s="8"/>
      <c r="R45" s="9"/>
      <c r="S45" s="8"/>
      <c r="T45" s="9"/>
      <c r="U45" s="8"/>
      <c r="V45" s="9"/>
      <c r="W45" s="8"/>
      <c r="X45" s="9"/>
      <c r="Y45" s="8"/>
      <c r="Z45" s="9"/>
      <c r="AA45" s="8"/>
      <c r="AB45" s="9"/>
      <c r="AC45" s="8"/>
      <c r="AD45" s="8"/>
      <c r="AE45" s="8"/>
      <c r="AF45" s="9"/>
      <c r="AG45" s="10"/>
      <c r="AH45" s="9"/>
      <c r="AI45" s="10"/>
      <c r="AJ45" s="9"/>
      <c r="AK45" s="5"/>
    </row>
    <row r="46" spans="1:37" ht="27" customHeight="1">
      <c r="A46" s="5"/>
      <c r="B46" s="5"/>
      <c r="C46" s="5"/>
      <c r="D46" s="5"/>
      <c r="E46" s="13"/>
      <c r="F46" s="14"/>
      <c r="G46" s="1"/>
      <c r="H46" s="14"/>
      <c r="I46" s="5"/>
      <c r="J46" s="1"/>
      <c r="K46" s="5"/>
      <c r="L46" s="6"/>
      <c r="M46" s="5"/>
      <c r="N46" s="15"/>
      <c r="O46" s="8"/>
      <c r="P46" s="9"/>
      <c r="Q46" s="8"/>
      <c r="R46" s="9"/>
      <c r="S46" s="8"/>
      <c r="T46" s="9"/>
      <c r="U46" s="8"/>
      <c r="V46" s="9"/>
      <c r="W46" s="8"/>
      <c r="X46" s="9"/>
      <c r="Y46" s="8"/>
      <c r="Z46" s="9"/>
      <c r="AA46" s="8"/>
      <c r="AB46" s="9"/>
      <c r="AC46" s="8"/>
      <c r="AD46" s="8"/>
      <c r="AE46" s="8"/>
      <c r="AF46" s="9"/>
      <c r="AG46" s="10"/>
      <c r="AH46" s="9"/>
      <c r="AI46" s="10"/>
      <c r="AJ46" s="9"/>
      <c r="AK46" s="5"/>
    </row>
    <row r="47" spans="1:37" ht="27" customHeight="1">
      <c r="A47" s="5"/>
      <c r="B47" s="5"/>
      <c r="C47" s="5"/>
      <c r="D47" s="5"/>
      <c r="E47" s="13"/>
      <c r="F47" s="14"/>
      <c r="G47" s="1"/>
      <c r="H47" s="14"/>
      <c r="I47" s="5"/>
      <c r="J47" s="1"/>
      <c r="K47" s="5"/>
      <c r="L47" s="6"/>
      <c r="M47" s="5"/>
      <c r="N47" s="15"/>
      <c r="O47" s="8"/>
      <c r="P47" s="9"/>
      <c r="Q47" s="8"/>
      <c r="R47" s="9"/>
      <c r="S47" s="8"/>
      <c r="T47" s="9"/>
      <c r="U47" s="8"/>
      <c r="V47" s="9"/>
      <c r="W47" s="8"/>
      <c r="X47" s="9"/>
      <c r="Y47" s="8"/>
      <c r="Z47" s="9"/>
      <c r="AA47" s="8"/>
      <c r="AB47" s="9"/>
      <c r="AC47" s="8"/>
      <c r="AD47" s="8"/>
      <c r="AE47" s="8"/>
      <c r="AF47" s="9"/>
      <c r="AG47" s="10"/>
      <c r="AH47" s="9"/>
      <c r="AI47" s="10"/>
      <c r="AJ47" s="9"/>
      <c r="AK47" s="5"/>
    </row>
    <row r="48" spans="1:37" ht="27" customHeight="1">
      <c r="A48" s="5"/>
      <c r="B48" s="5"/>
      <c r="C48" s="5"/>
      <c r="D48" s="5"/>
      <c r="E48" s="13"/>
      <c r="F48" s="14"/>
      <c r="G48" s="1"/>
      <c r="H48" s="14"/>
      <c r="I48" s="5"/>
      <c r="J48" s="1"/>
      <c r="K48" s="5"/>
      <c r="L48" s="6"/>
      <c r="M48" s="5"/>
      <c r="N48" s="15"/>
      <c r="O48" s="8"/>
      <c r="P48" s="9"/>
      <c r="Q48" s="8"/>
      <c r="R48" s="9"/>
      <c r="S48" s="8"/>
      <c r="T48" s="9"/>
      <c r="U48" s="8"/>
      <c r="V48" s="9"/>
      <c r="W48" s="8"/>
      <c r="X48" s="9"/>
      <c r="Y48" s="8"/>
      <c r="Z48" s="9"/>
      <c r="AA48" s="8"/>
      <c r="AB48" s="9"/>
      <c r="AC48" s="8"/>
      <c r="AD48" s="8"/>
      <c r="AE48" s="8"/>
      <c r="AF48" s="9"/>
      <c r="AG48" s="10"/>
      <c r="AH48" s="9"/>
      <c r="AI48" s="10"/>
      <c r="AJ48" s="9"/>
      <c r="AK48" s="5"/>
    </row>
    <row r="49" spans="1:37" ht="27" customHeight="1">
      <c r="A49" s="5"/>
      <c r="B49" s="5"/>
      <c r="C49" s="5"/>
      <c r="D49" s="5"/>
      <c r="E49" s="13"/>
      <c r="F49" s="14"/>
      <c r="G49" s="1"/>
      <c r="H49" s="14"/>
      <c r="I49" s="5"/>
      <c r="J49" s="1"/>
      <c r="K49" s="5"/>
      <c r="L49" s="6"/>
      <c r="M49" s="5"/>
      <c r="N49" s="15"/>
      <c r="O49" s="8"/>
      <c r="P49" s="9"/>
      <c r="Q49" s="8"/>
      <c r="R49" s="9"/>
      <c r="S49" s="8"/>
      <c r="T49" s="9"/>
      <c r="U49" s="8"/>
      <c r="V49" s="9"/>
      <c r="W49" s="8"/>
      <c r="X49" s="9"/>
      <c r="Y49" s="8"/>
      <c r="Z49" s="9"/>
      <c r="AA49" s="8"/>
      <c r="AB49" s="9"/>
      <c r="AC49" s="8"/>
      <c r="AD49" s="8"/>
      <c r="AE49" s="8"/>
      <c r="AF49" s="9"/>
      <c r="AG49" s="10"/>
      <c r="AH49" s="9"/>
      <c r="AI49" s="10"/>
      <c r="AJ49" s="9"/>
      <c r="AK49" s="5"/>
    </row>
    <row r="50" spans="1:37" ht="27" customHeight="1">
      <c r="A50" s="5"/>
      <c r="B50" s="5"/>
      <c r="C50" s="5"/>
      <c r="D50" s="5"/>
      <c r="E50" s="13"/>
      <c r="F50" s="14"/>
      <c r="G50" s="1"/>
      <c r="H50" s="14"/>
      <c r="I50" s="5"/>
      <c r="J50" s="1"/>
      <c r="K50" s="5"/>
      <c r="L50" s="6"/>
      <c r="M50" s="5"/>
      <c r="N50" s="15"/>
      <c r="O50" s="8"/>
      <c r="P50" s="9"/>
      <c r="Q50" s="8"/>
      <c r="R50" s="9"/>
      <c r="S50" s="8"/>
      <c r="T50" s="9"/>
      <c r="U50" s="8"/>
      <c r="V50" s="9"/>
      <c r="W50" s="8"/>
      <c r="X50" s="9"/>
      <c r="Y50" s="8"/>
      <c r="Z50" s="9"/>
      <c r="AA50" s="8"/>
      <c r="AB50" s="9"/>
      <c r="AC50" s="8"/>
      <c r="AD50" s="8"/>
      <c r="AE50" s="8"/>
      <c r="AF50" s="9"/>
      <c r="AG50" s="10"/>
      <c r="AH50" s="9"/>
      <c r="AI50" s="10"/>
      <c r="AJ50" s="9"/>
      <c r="AK50" s="5"/>
    </row>
    <row r="51" spans="1:37" ht="27" customHeight="1">
      <c r="A51" s="5"/>
      <c r="B51" s="5"/>
      <c r="C51" s="5"/>
      <c r="D51" s="5"/>
      <c r="E51" s="13"/>
      <c r="F51" s="14"/>
      <c r="G51" s="1"/>
      <c r="H51" s="14"/>
      <c r="I51" s="5"/>
      <c r="J51" s="1"/>
      <c r="K51" s="5"/>
      <c r="L51" s="6"/>
      <c r="M51" s="5"/>
      <c r="N51" s="15"/>
      <c r="O51" s="8"/>
      <c r="P51" s="9"/>
      <c r="Q51" s="8"/>
      <c r="R51" s="9"/>
      <c r="S51" s="8"/>
      <c r="T51" s="9"/>
      <c r="U51" s="8"/>
      <c r="V51" s="9"/>
      <c r="W51" s="8"/>
      <c r="X51" s="9"/>
      <c r="Y51" s="8"/>
      <c r="Z51" s="9"/>
      <c r="AA51" s="8"/>
      <c r="AB51" s="9"/>
      <c r="AC51" s="8"/>
      <c r="AD51" s="8"/>
      <c r="AE51" s="8"/>
      <c r="AF51" s="9"/>
      <c r="AG51" s="10"/>
      <c r="AH51" s="9"/>
      <c r="AI51" s="10"/>
      <c r="AJ51" s="9"/>
      <c r="AK51" s="5"/>
    </row>
    <row r="52" spans="1:37" ht="27" customHeight="1">
      <c r="A52" s="5"/>
      <c r="B52" s="5"/>
      <c r="C52" s="5"/>
      <c r="D52" s="5"/>
      <c r="E52" s="13"/>
      <c r="F52" s="14"/>
      <c r="G52" s="1"/>
      <c r="H52" s="14"/>
      <c r="I52" s="5"/>
      <c r="J52" s="1"/>
      <c r="K52" s="5"/>
      <c r="L52" s="6"/>
      <c r="M52" s="5"/>
      <c r="N52" s="15"/>
      <c r="O52" s="8"/>
      <c r="P52" s="9"/>
      <c r="Q52" s="8"/>
      <c r="R52" s="9"/>
      <c r="S52" s="8"/>
      <c r="T52" s="9"/>
      <c r="U52" s="8"/>
      <c r="V52" s="9"/>
      <c r="W52" s="8"/>
      <c r="X52" s="9"/>
      <c r="Y52" s="8"/>
      <c r="Z52" s="9"/>
      <c r="AA52" s="8"/>
      <c r="AB52" s="9"/>
      <c r="AC52" s="8"/>
      <c r="AD52" s="8"/>
      <c r="AE52" s="8"/>
      <c r="AF52" s="9"/>
      <c r="AG52" s="10"/>
      <c r="AH52" s="9"/>
      <c r="AI52" s="10"/>
      <c r="AJ52" s="9"/>
      <c r="AK52" s="5"/>
    </row>
    <row r="53" spans="1:37" ht="27" customHeight="1">
      <c r="A53" s="5"/>
      <c r="B53" s="5"/>
      <c r="C53" s="5"/>
      <c r="D53" s="5"/>
      <c r="E53" s="13"/>
      <c r="F53" s="14"/>
      <c r="G53" s="1"/>
      <c r="H53" s="14"/>
      <c r="I53" s="5"/>
      <c r="J53" s="1"/>
      <c r="K53" s="5"/>
      <c r="L53" s="6"/>
      <c r="M53" s="5"/>
      <c r="N53" s="15"/>
      <c r="O53" s="8"/>
      <c r="P53" s="9"/>
      <c r="Q53" s="8"/>
      <c r="R53" s="9"/>
      <c r="S53" s="8"/>
      <c r="T53" s="9"/>
      <c r="U53" s="8"/>
      <c r="V53" s="9"/>
      <c r="W53" s="8"/>
      <c r="X53" s="9"/>
      <c r="Y53" s="8"/>
      <c r="Z53" s="9"/>
      <c r="AA53" s="8"/>
      <c r="AB53" s="9"/>
      <c r="AC53" s="8"/>
      <c r="AD53" s="8"/>
      <c r="AE53" s="8"/>
      <c r="AF53" s="9"/>
      <c r="AG53" s="10"/>
      <c r="AH53" s="9"/>
      <c r="AI53" s="10"/>
      <c r="AJ53" s="9"/>
      <c r="AK53" s="5"/>
    </row>
    <row r="54" spans="1:37" ht="27" customHeight="1">
      <c r="A54" s="5"/>
      <c r="B54" s="5"/>
      <c r="C54" s="5"/>
      <c r="D54" s="5"/>
      <c r="E54" s="13"/>
      <c r="F54" s="14"/>
      <c r="G54" s="1"/>
      <c r="H54" s="14"/>
      <c r="I54" s="5"/>
      <c r="J54" s="1"/>
      <c r="K54" s="5"/>
      <c r="L54" s="6"/>
      <c r="M54" s="5"/>
      <c r="N54" s="15"/>
      <c r="O54" s="8"/>
      <c r="P54" s="9"/>
      <c r="Q54" s="8"/>
      <c r="R54" s="9"/>
      <c r="S54" s="8"/>
      <c r="T54" s="9"/>
      <c r="U54" s="8"/>
      <c r="V54" s="9"/>
      <c r="W54" s="8"/>
      <c r="X54" s="9"/>
      <c r="Y54" s="8"/>
      <c r="Z54" s="9"/>
      <c r="AA54" s="8"/>
      <c r="AB54" s="9"/>
      <c r="AC54" s="8"/>
      <c r="AD54" s="8"/>
      <c r="AE54" s="8"/>
      <c r="AF54" s="9"/>
      <c r="AG54" s="10"/>
      <c r="AH54" s="9"/>
      <c r="AI54" s="10"/>
      <c r="AJ54" s="9"/>
      <c r="AK54" s="5"/>
    </row>
    <row r="55" spans="1:37" ht="27" customHeight="1">
      <c r="A55" s="5"/>
      <c r="B55" s="5"/>
      <c r="C55" s="5"/>
      <c r="D55" s="5"/>
      <c r="E55" s="13"/>
      <c r="F55" s="14"/>
      <c r="G55" s="1"/>
      <c r="H55" s="14"/>
      <c r="I55" s="5"/>
      <c r="J55" s="1"/>
      <c r="K55" s="5"/>
      <c r="L55" s="6"/>
      <c r="M55" s="5"/>
      <c r="N55" s="15"/>
      <c r="O55" s="8"/>
      <c r="P55" s="9"/>
      <c r="Q55" s="8"/>
      <c r="R55" s="9"/>
      <c r="S55" s="8"/>
      <c r="T55" s="9"/>
      <c r="U55" s="8"/>
      <c r="V55" s="9"/>
      <c r="W55" s="8"/>
      <c r="X55" s="9"/>
      <c r="Y55" s="8"/>
      <c r="Z55" s="9"/>
      <c r="AA55" s="8"/>
      <c r="AB55" s="9"/>
      <c r="AC55" s="8"/>
      <c r="AD55" s="8"/>
      <c r="AE55" s="8"/>
      <c r="AF55" s="9"/>
      <c r="AG55" s="10"/>
      <c r="AH55" s="9"/>
      <c r="AI55" s="10"/>
      <c r="AJ55" s="9"/>
      <c r="AK55" s="5"/>
    </row>
    <row r="56" spans="1:37" ht="27" customHeight="1">
      <c r="A56" s="5"/>
      <c r="B56" s="5"/>
      <c r="C56" s="5"/>
      <c r="D56" s="5"/>
      <c r="E56" s="13"/>
      <c r="F56" s="14"/>
      <c r="G56" s="1"/>
      <c r="H56" s="14"/>
      <c r="I56" s="5"/>
      <c r="J56" s="1"/>
      <c r="K56" s="5"/>
      <c r="L56" s="6"/>
      <c r="M56" s="5"/>
      <c r="N56" s="15"/>
      <c r="O56" s="8"/>
      <c r="P56" s="9"/>
      <c r="Q56" s="8"/>
      <c r="R56" s="9"/>
      <c r="S56" s="8"/>
      <c r="T56" s="9"/>
      <c r="U56" s="8"/>
      <c r="V56" s="9"/>
      <c r="W56" s="8"/>
      <c r="X56" s="9"/>
      <c r="Y56" s="8"/>
      <c r="Z56" s="9"/>
      <c r="AA56" s="8"/>
      <c r="AB56" s="9"/>
      <c r="AC56" s="8"/>
      <c r="AD56" s="8"/>
      <c r="AE56" s="8"/>
      <c r="AF56" s="9"/>
      <c r="AG56" s="10"/>
      <c r="AH56" s="9"/>
      <c r="AI56" s="10"/>
      <c r="AJ56" s="9"/>
      <c r="AK56" s="5"/>
    </row>
    <row r="57" spans="1:37" ht="27" customHeight="1">
      <c r="A57" s="5"/>
      <c r="B57" s="5"/>
      <c r="C57" s="5"/>
      <c r="D57" s="5"/>
      <c r="E57" s="13"/>
      <c r="F57" s="14"/>
      <c r="G57" s="1"/>
      <c r="H57" s="14"/>
      <c r="I57" s="5"/>
      <c r="J57" s="1"/>
      <c r="K57" s="5"/>
      <c r="L57" s="6"/>
      <c r="M57" s="5"/>
      <c r="N57" s="15"/>
      <c r="O57" s="8"/>
      <c r="P57" s="9"/>
      <c r="Q57" s="8"/>
      <c r="R57" s="9"/>
      <c r="S57" s="8"/>
      <c r="T57" s="9"/>
      <c r="U57" s="8"/>
      <c r="V57" s="9"/>
      <c r="W57" s="8"/>
      <c r="X57" s="9"/>
      <c r="Y57" s="8"/>
      <c r="Z57" s="9"/>
      <c r="AA57" s="8"/>
      <c r="AB57" s="9"/>
      <c r="AC57" s="8"/>
      <c r="AD57" s="8"/>
      <c r="AE57" s="8"/>
      <c r="AF57" s="9"/>
      <c r="AG57" s="10"/>
      <c r="AH57" s="9"/>
      <c r="AI57" s="10"/>
      <c r="AJ57" s="9"/>
      <c r="AK57" s="5"/>
    </row>
    <row r="58" spans="1:37" ht="27" customHeight="1">
      <c r="A58" s="5"/>
      <c r="B58" s="5"/>
      <c r="C58" s="5"/>
      <c r="D58" s="5"/>
      <c r="E58" s="13"/>
      <c r="F58" s="14"/>
      <c r="G58" s="1"/>
      <c r="H58" s="14"/>
      <c r="I58" s="5"/>
      <c r="J58" s="1"/>
      <c r="K58" s="5"/>
      <c r="L58" s="6"/>
      <c r="M58" s="5"/>
      <c r="N58" s="15"/>
      <c r="O58" s="8"/>
      <c r="P58" s="9"/>
      <c r="Q58" s="8"/>
      <c r="R58" s="9"/>
      <c r="S58" s="8"/>
      <c r="T58" s="9"/>
      <c r="U58" s="8"/>
      <c r="V58" s="9"/>
      <c r="W58" s="8"/>
      <c r="X58" s="9"/>
      <c r="Y58" s="8"/>
      <c r="Z58" s="9"/>
      <c r="AA58" s="8"/>
      <c r="AB58" s="9"/>
      <c r="AC58" s="8"/>
      <c r="AD58" s="8"/>
      <c r="AE58" s="8"/>
      <c r="AF58" s="9"/>
      <c r="AG58" s="10"/>
      <c r="AH58" s="9"/>
      <c r="AI58" s="10"/>
      <c r="AJ58" s="9"/>
      <c r="AK58" s="5"/>
    </row>
    <row r="59" spans="1:37" ht="27" customHeight="1">
      <c r="A59" s="5"/>
      <c r="B59" s="5"/>
      <c r="C59" s="5"/>
      <c r="D59" s="5"/>
      <c r="E59" s="13"/>
      <c r="F59" s="14"/>
      <c r="G59" s="1"/>
      <c r="H59" s="14"/>
      <c r="I59" s="5"/>
      <c r="J59" s="1"/>
      <c r="K59" s="5"/>
      <c r="L59" s="6"/>
      <c r="M59" s="5"/>
      <c r="N59" s="15"/>
      <c r="O59" s="8"/>
      <c r="P59" s="9"/>
      <c r="Q59" s="8"/>
      <c r="R59" s="9"/>
      <c r="S59" s="8"/>
      <c r="T59" s="9"/>
      <c r="U59" s="8"/>
      <c r="V59" s="9"/>
      <c r="W59" s="8"/>
      <c r="X59" s="9"/>
      <c r="Y59" s="8"/>
      <c r="Z59" s="9"/>
      <c r="AA59" s="8"/>
      <c r="AB59" s="9"/>
      <c r="AC59" s="8"/>
      <c r="AD59" s="8"/>
      <c r="AE59" s="8"/>
      <c r="AF59" s="9"/>
      <c r="AG59" s="10"/>
      <c r="AH59" s="9"/>
      <c r="AI59" s="10"/>
      <c r="AJ59" s="9"/>
      <c r="AK59" s="5"/>
    </row>
    <row r="60" spans="1:37" ht="27" customHeight="1">
      <c r="A60" s="5"/>
      <c r="B60" s="5"/>
      <c r="C60" s="5"/>
      <c r="D60" s="5"/>
      <c r="E60" s="13"/>
      <c r="F60" s="14"/>
      <c r="G60" s="1"/>
      <c r="H60" s="14"/>
      <c r="I60" s="5"/>
      <c r="J60" s="1"/>
      <c r="K60" s="5"/>
      <c r="L60" s="6"/>
      <c r="M60" s="5"/>
      <c r="N60" s="15"/>
      <c r="O60" s="8"/>
      <c r="P60" s="9"/>
      <c r="Q60" s="8"/>
      <c r="R60" s="9"/>
      <c r="S60" s="8"/>
      <c r="T60" s="9"/>
      <c r="U60" s="8"/>
      <c r="V60" s="9"/>
      <c r="W60" s="8"/>
      <c r="X60" s="9"/>
      <c r="Y60" s="8"/>
      <c r="Z60" s="9"/>
      <c r="AA60" s="8"/>
      <c r="AB60" s="9"/>
      <c r="AC60" s="8"/>
      <c r="AD60" s="8"/>
      <c r="AE60" s="8"/>
      <c r="AF60" s="9"/>
      <c r="AG60" s="10"/>
      <c r="AH60" s="9"/>
      <c r="AI60" s="10"/>
      <c r="AJ60" s="9"/>
      <c r="AK60" s="5"/>
    </row>
    <row r="61" spans="1:37" ht="27" customHeight="1">
      <c r="A61" s="5"/>
      <c r="B61" s="5"/>
      <c r="C61" s="5"/>
      <c r="D61" s="5"/>
      <c r="E61" s="13"/>
      <c r="F61" s="14"/>
      <c r="G61" s="1"/>
      <c r="H61" s="14"/>
      <c r="I61" s="5"/>
      <c r="J61" s="1"/>
      <c r="K61" s="5"/>
      <c r="L61" s="6"/>
      <c r="M61" s="5"/>
      <c r="N61" s="15"/>
      <c r="O61" s="8"/>
      <c r="P61" s="9"/>
      <c r="Q61" s="8"/>
      <c r="R61" s="9"/>
      <c r="S61" s="8"/>
      <c r="T61" s="9"/>
      <c r="U61" s="8"/>
      <c r="V61" s="9"/>
      <c r="W61" s="8"/>
      <c r="X61" s="9"/>
      <c r="Y61" s="8"/>
      <c r="Z61" s="9"/>
      <c r="AA61" s="8"/>
      <c r="AB61" s="9"/>
      <c r="AC61" s="8"/>
      <c r="AD61" s="8"/>
      <c r="AE61" s="8"/>
      <c r="AF61" s="9"/>
      <c r="AG61" s="10"/>
      <c r="AH61" s="9"/>
      <c r="AI61" s="10"/>
      <c r="AJ61" s="9"/>
      <c r="AK61" s="5"/>
    </row>
    <row r="62" spans="1:37" ht="27" customHeight="1">
      <c r="A62" s="5"/>
      <c r="B62" s="5"/>
      <c r="C62" s="5"/>
      <c r="D62" s="5"/>
      <c r="E62" s="13"/>
      <c r="F62" s="14"/>
      <c r="G62" s="1"/>
      <c r="H62" s="14"/>
      <c r="I62" s="5"/>
      <c r="J62" s="1"/>
      <c r="K62" s="5"/>
      <c r="L62" s="6"/>
      <c r="M62" s="5"/>
      <c r="N62" s="15"/>
      <c r="O62" s="8"/>
      <c r="P62" s="9"/>
      <c r="Q62" s="8"/>
      <c r="R62" s="9"/>
      <c r="S62" s="8"/>
      <c r="T62" s="9"/>
      <c r="U62" s="8"/>
      <c r="V62" s="9"/>
      <c r="W62" s="8"/>
      <c r="X62" s="9"/>
      <c r="Y62" s="8"/>
      <c r="Z62" s="9"/>
      <c r="AA62" s="8"/>
      <c r="AB62" s="9"/>
      <c r="AC62" s="8"/>
      <c r="AD62" s="8"/>
      <c r="AE62" s="8"/>
      <c r="AF62" s="9"/>
      <c r="AG62" s="10"/>
      <c r="AH62" s="9"/>
      <c r="AI62" s="10"/>
      <c r="AJ62" s="9"/>
      <c r="AK62" s="5"/>
    </row>
    <row r="63" spans="1:37" ht="27" customHeight="1">
      <c r="A63" s="5"/>
      <c r="B63" s="5"/>
      <c r="C63" s="5"/>
      <c r="D63" s="5"/>
      <c r="E63" s="13"/>
      <c r="F63" s="14"/>
      <c r="G63" s="1"/>
      <c r="H63" s="14"/>
      <c r="I63" s="5"/>
      <c r="J63" s="1"/>
      <c r="K63" s="5"/>
      <c r="L63" s="6"/>
      <c r="M63" s="5"/>
      <c r="N63" s="15"/>
      <c r="O63" s="8"/>
      <c r="P63" s="9"/>
      <c r="Q63" s="8"/>
      <c r="R63" s="9"/>
      <c r="S63" s="8"/>
      <c r="T63" s="9"/>
      <c r="U63" s="8"/>
      <c r="V63" s="9"/>
      <c r="W63" s="8"/>
      <c r="X63" s="9"/>
      <c r="Y63" s="8"/>
      <c r="Z63" s="9"/>
      <c r="AA63" s="8"/>
      <c r="AB63" s="9"/>
      <c r="AC63" s="8"/>
      <c r="AD63" s="8"/>
      <c r="AE63" s="8"/>
      <c r="AF63" s="9"/>
      <c r="AG63" s="10"/>
      <c r="AH63" s="9"/>
      <c r="AI63" s="10"/>
      <c r="AJ63" s="9"/>
      <c r="AK63" s="5"/>
    </row>
    <row r="64" spans="1:37" ht="27" customHeight="1">
      <c r="A64" s="5"/>
      <c r="B64" s="5"/>
      <c r="C64" s="5"/>
      <c r="D64" s="5"/>
      <c r="E64" s="13"/>
      <c r="F64" s="14"/>
      <c r="G64" s="1"/>
      <c r="H64" s="14"/>
      <c r="I64" s="5"/>
      <c r="J64" s="1"/>
      <c r="K64" s="5"/>
      <c r="L64" s="6"/>
      <c r="M64" s="5"/>
      <c r="N64" s="15"/>
      <c r="O64" s="8"/>
      <c r="P64" s="9"/>
      <c r="Q64" s="8"/>
      <c r="R64" s="9"/>
      <c r="S64" s="8"/>
      <c r="T64" s="9"/>
      <c r="U64" s="8"/>
      <c r="V64" s="9"/>
      <c r="W64" s="8"/>
      <c r="X64" s="9"/>
      <c r="Y64" s="8"/>
      <c r="Z64" s="9"/>
      <c r="AA64" s="8"/>
      <c r="AB64" s="9"/>
      <c r="AC64" s="8"/>
      <c r="AD64" s="8"/>
      <c r="AE64" s="8"/>
      <c r="AF64" s="9"/>
      <c r="AG64" s="10"/>
      <c r="AH64" s="9"/>
      <c r="AI64" s="10"/>
      <c r="AJ64" s="9"/>
      <c r="AK64" s="5"/>
    </row>
    <row r="65" spans="1:37" ht="27" customHeight="1">
      <c r="A65" s="5"/>
      <c r="B65" s="5"/>
      <c r="C65" s="5"/>
      <c r="D65" s="5"/>
      <c r="E65" s="13"/>
      <c r="F65" s="14"/>
      <c r="G65" s="1"/>
      <c r="H65" s="14"/>
      <c r="I65" s="5"/>
      <c r="J65" s="1"/>
      <c r="K65" s="5"/>
      <c r="L65" s="6"/>
      <c r="M65" s="5"/>
      <c r="N65" s="15"/>
      <c r="O65" s="8"/>
      <c r="P65" s="9"/>
      <c r="Q65" s="8"/>
      <c r="R65" s="9"/>
      <c r="S65" s="8"/>
      <c r="T65" s="9"/>
      <c r="U65" s="8"/>
      <c r="V65" s="9"/>
      <c r="W65" s="8"/>
      <c r="X65" s="9"/>
      <c r="Y65" s="8"/>
      <c r="Z65" s="9"/>
      <c r="AA65" s="8"/>
      <c r="AB65" s="9"/>
      <c r="AC65" s="8"/>
      <c r="AD65" s="8"/>
      <c r="AE65" s="8"/>
      <c r="AF65" s="9"/>
      <c r="AG65" s="10"/>
      <c r="AH65" s="9"/>
      <c r="AI65" s="10"/>
      <c r="AJ65" s="9"/>
      <c r="AK65" s="5"/>
    </row>
    <row r="66" spans="1:37" ht="27" customHeight="1">
      <c r="A66" s="5"/>
      <c r="B66" s="5"/>
      <c r="C66" s="5"/>
      <c r="D66" s="5"/>
      <c r="E66" s="13"/>
      <c r="F66" s="14"/>
      <c r="G66" s="1"/>
      <c r="H66" s="14"/>
      <c r="I66" s="5"/>
      <c r="J66" s="1"/>
      <c r="K66" s="5"/>
      <c r="L66" s="6"/>
      <c r="M66" s="5"/>
      <c r="N66" s="15"/>
      <c r="O66" s="8"/>
      <c r="P66" s="9"/>
      <c r="Q66" s="8"/>
      <c r="R66" s="9"/>
      <c r="S66" s="8"/>
      <c r="T66" s="9"/>
      <c r="U66" s="8"/>
      <c r="V66" s="9"/>
      <c r="W66" s="8"/>
      <c r="X66" s="9"/>
      <c r="Y66" s="8"/>
      <c r="Z66" s="9"/>
      <c r="AA66" s="8"/>
      <c r="AB66" s="9"/>
      <c r="AC66" s="8"/>
      <c r="AD66" s="8"/>
      <c r="AE66" s="8"/>
      <c r="AF66" s="9"/>
      <c r="AG66" s="10"/>
      <c r="AH66" s="9"/>
      <c r="AI66" s="10"/>
      <c r="AJ66" s="9"/>
      <c r="AK66" s="5"/>
    </row>
    <row r="67" spans="1:37" ht="27" customHeight="1">
      <c r="A67" s="5"/>
      <c r="B67" s="5"/>
      <c r="C67" s="5"/>
      <c r="D67" s="5"/>
      <c r="E67" s="13"/>
      <c r="F67" s="14"/>
      <c r="G67" s="1"/>
      <c r="H67" s="14"/>
      <c r="I67" s="5"/>
      <c r="J67" s="1"/>
      <c r="K67" s="5"/>
      <c r="L67" s="6"/>
      <c r="M67" s="5"/>
      <c r="N67" s="15"/>
      <c r="O67" s="8"/>
      <c r="P67" s="9"/>
      <c r="Q67" s="8"/>
      <c r="R67" s="9"/>
      <c r="S67" s="8"/>
      <c r="T67" s="9"/>
      <c r="U67" s="8"/>
      <c r="V67" s="9"/>
      <c r="W67" s="8"/>
      <c r="X67" s="9"/>
      <c r="Y67" s="8"/>
      <c r="Z67" s="9"/>
      <c r="AA67" s="8"/>
      <c r="AB67" s="9"/>
      <c r="AC67" s="8"/>
      <c r="AD67" s="8"/>
      <c r="AE67" s="8"/>
      <c r="AF67" s="9"/>
      <c r="AG67" s="10"/>
      <c r="AH67" s="9"/>
      <c r="AI67" s="10"/>
      <c r="AJ67" s="9"/>
      <c r="AK67" s="5"/>
    </row>
    <row r="68" spans="1:37" ht="27" customHeight="1">
      <c r="A68" s="5"/>
      <c r="B68" s="5"/>
      <c r="C68" s="5"/>
      <c r="D68" s="5"/>
      <c r="E68" s="13"/>
      <c r="F68" s="14"/>
      <c r="G68" s="1"/>
      <c r="H68" s="14"/>
      <c r="I68" s="5"/>
      <c r="J68" s="1"/>
      <c r="K68" s="5"/>
      <c r="L68" s="6"/>
      <c r="M68" s="5"/>
      <c r="N68" s="15"/>
      <c r="O68" s="8"/>
      <c r="P68" s="9"/>
      <c r="Q68" s="8"/>
      <c r="R68" s="9"/>
      <c r="S68" s="8"/>
      <c r="T68" s="9"/>
      <c r="U68" s="8"/>
      <c r="V68" s="9"/>
      <c r="W68" s="8"/>
      <c r="X68" s="9"/>
      <c r="Y68" s="8"/>
      <c r="Z68" s="9"/>
      <c r="AA68" s="8"/>
      <c r="AB68" s="9"/>
      <c r="AC68" s="8"/>
      <c r="AD68" s="8"/>
      <c r="AE68" s="8"/>
      <c r="AF68" s="9"/>
      <c r="AG68" s="10"/>
      <c r="AH68" s="9"/>
      <c r="AI68" s="10"/>
      <c r="AJ68" s="9"/>
      <c r="AK68" s="5"/>
    </row>
    <row r="69" spans="1:37" ht="27" customHeight="1">
      <c r="A69" s="5"/>
      <c r="B69" s="5"/>
      <c r="C69" s="5"/>
      <c r="D69" s="5"/>
      <c r="E69" s="13"/>
      <c r="F69" s="14"/>
      <c r="G69" s="1"/>
      <c r="H69" s="14"/>
      <c r="I69" s="5"/>
      <c r="J69" s="1"/>
      <c r="K69" s="5"/>
      <c r="L69" s="6"/>
      <c r="M69" s="5"/>
      <c r="N69" s="15"/>
      <c r="O69" s="8"/>
      <c r="P69" s="9"/>
      <c r="Q69" s="8"/>
      <c r="R69" s="9"/>
      <c r="S69" s="8"/>
      <c r="T69" s="9"/>
      <c r="U69" s="8"/>
      <c r="V69" s="9"/>
      <c r="W69" s="8"/>
      <c r="X69" s="9"/>
      <c r="Y69" s="8"/>
      <c r="Z69" s="9"/>
      <c r="AA69" s="8"/>
      <c r="AB69" s="9"/>
      <c r="AC69" s="8"/>
      <c r="AD69" s="8"/>
      <c r="AE69" s="8"/>
      <c r="AF69" s="9"/>
      <c r="AG69" s="10"/>
      <c r="AH69" s="9"/>
      <c r="AI69" s="10"/>
      <c r="AJ69" s="9"/>
      <c r="AK69" s="5"/>
    </row>
    <row r="70" spans="1:37" ht="27" customHeight="1">
      <c r="A70" s="5"/>
      <c r="B70" s="5"/>
      <c r="C70" s="5"/>
      <c r="D70" s="5"/>
      <c r="E70" s="13"/>
      <c r="F70" s="14"/>
      <c r="G70" s="1"/>
      <c r="H70" s="14"/>
      <c r="I70" s="5"/>
      <c r="J70" s="1"/>
      <c r="K70" s="5"/>
      <c r="L70" s="6"/>
      <c r="M70" s="5"/>
      <c r="N70" s="15"/>
      <c r="O70" s="8"/>
      <c r="P70" s="9"/>
      <c r="Q70" s="8"/>
      <c r="R70" s="9"/>
      <c r="S70" s="8"/>
      <c r="T70" s="9"/>
      <c r="U70" s="8"/>
      <c r="V70" s="9"/>
      <c r="W70" s="8"/>
      <c r="X70" s="9"/>
      <c r="Y70" s="8"/>
      <c r="Z70" s="9"/>
      <c r="AA70" s="8"/>
      <c r="AB70" s="9"/>
      <c r="AC70" s="8"/>
      <c r="AD70" s="8"/>
      <c r="AE70" s="8"/>
      <c r="AF70" s="9"/>
      <c r="AG70" s="10"/>
      <c r="AH70" s="9"/>
      <c r="AI70" s="10"/>
      <c r="AJ70" s="9"/>
      <c r="AK70" s="5"/>
    </row>
    <row r="71" spans="1:37" ht="27" customHeight="1">
      <c r="A71" s="5"/>
      <c r="B71" s="5"/>
      <c r="C71" s="5"/>
      <c r="D71" s="5"/>
      <c r="E71" s="13"/>
      <c r="F71" s="14"/>
      <c r="G71" s="1"/>
      <c r="H71" s="14"/>
      <c r="I71" s="5"/>
      <c r="J71" s="1"/>
      <c r="K71" s="5"/>
      <c r="L71" s="6"/>
      <c r="M71" s="5"/>
      <c r="N71" s="15"/>
      <c r="O71" s="8"/>
      <c r="P71" s="9"/>
      <c r="Q71" s="8"/>
      <c r="R71" s="9"/>
      <c r="S71" s="8"/>
      <c r="T71" s="9"/>
      <c r="U71" s="8"/>
      <c r="V71" s="9"/>
      <c r="W71" s="8"/>
      <c r="X71" s="9"/>
      <c r="Y71" s="8"/>
      <c r="Z71" s="9"/>
      <c r="AA71" s="8"/>
      <c r="AB71" s="9"/>
      <c r="AC71" s="8"/>
      <c r="AD71" s="8"/>
      <c r="AE71" s="8"/>
      <c r="AF71" s="9"/>
      <c r="AG71" s="10"/>
      <c r="AH71" s="9"/>
      <c r="AI71" s="10"/>
      <c r="AJ71" s="9"/>
      <c r="AK71" s="5"/>
    </row>
    <row r="72" spans="1:37" ht="27" customHeight="1">
      <c r="A72" s="5"/>
      <c r="B72" s="5"/>
      <c r="C72" s="5"/>
      <c r="D72" s="5"/>
      <c r="E72" s="13"/>
      <c r="F72" s="14"/>
      <c r="G72" s="1"/>
      <c r="H72" s="14"/>
      <c r="I72" s="5"/>
      <c r="J72" s="1"/>
      <c r="K72" s="5"/>
      <c r="L72" s="6"/>
      <c r="M72" s="5"/>
      <c r="N72" s="15"/>
      <c r="O72" s="8"/>
      <c r="P72" s="9"/>
      <c r="Q72" s="8"/>
      <c r="R72" s="9"/>
      <c r="S72" s="8"/>
      <c r="T72" s="9"/>
      <c r="U72" s="8"/>
      <c r="V72" s="9"/>
      <c r="W72" s="8"/>
      <c r="X72" s="9"/>
      <c r="Y72" s="8"/>
      <c r="Z72" s="9"/>
      <c r="AA72" s="8"/>
      <c r="AB72" s="9"/>
      <c r="AC72" s="8"/>
      <c r="AD72" s="8"/>
      <c r="AE72" s="8"/>
      <c r="AF72" s="9"/>
      <c r="AG72" s="10"/>
      <c r="AH72" s="9"/>
      <c r="AI72" s="10"/>
      <c r="AJ72" s="9"/>
      <c r="AK72" s="5"/>
    </row>
    <row r="73" spans="1:37" ht="27" customHeight="1">
      <c r="A73" s="5"/>
      <c r="B73" s="5"/>
      <c r="C73" s="5"/>
      <c r="D73" s="5"/>
      <c r="E73" s="13"/>
      <c r="F73" s="14"/>
      <c r="G73" s="1"/>
      <c r="H73" s="14"/>
      <c r="I73" s="5"/>
      <c r="J73" s="1"/>
      <c r="K73" s="5"/>
      <c r="L73" s="6"/>
      <c r="M73" s="5"/>
      <c r="N73" s="15"/>
      <c r="O73" s="8"/>
      <c r="P73" s="9"/>
      <c r="Q73" s="8"/>
      <c r="R73" s="9"/>
      <c r="S73" s="8"/>
      <c r="T73" s="9"/>
      <c r="U73" s="8"/>
      <c r="V73" s="9"/>
      <c r="W73" s="8"/>
      <c r="X73" s="9"/>
      <c r="Y73" s="8"/>
      <c r="Z73" s="9"/>
      <c r="AA73" s="8"/>
      <c r="AB73" s="9"/>
      <c r="AC73" s="8"/>
      <c r="AD73" s="8"/>
      <c r="AE73" s="8"/>
      <c r="AF73" s="9"/>
      <c r="AG73" s="10"/>
      <c r="AH73" s="9"/>
      <c r="AI73" s="10"/>
      <c r="AJ73" s="9"/>
      <c r="AK73" s="5"/>
    </row>
    <row r="74" spans="1:37" ht="27" customHeight="1">
      <c r="A74" s="5"/>
      <c r="B74" s="5"/>
      <c r="C74" s="5"/>
      <c r="D74" s="5"/>
      <c r="E74" s="13"/>
      <c r="F74" s="14"/>
      <c r="G74" s="1"/>
      <c r="H74" s="14"/>
      <c r="I74" s="5"/>
      <c r="J74" s="1"/>
      <c r="K74" s="5"/>
      <c r="L74" s="6"/>
      <c r="M74" s="5"/>
      <c r="N74" s="15"/>
      <c r="O74" s="8"/>
      <c r="P74" s="9"/>
      <c r="Q74" s="8"/>
      <c r="R74" s="9"/>
      <c r="S74" s="8"/>
      <c r="T74" s="9"/>
      <c r="U74" s="8"/>
      <c r="V74" s="9"/>
      <c r="W74" s="8"/>
      <c r="X74" s="9"/>
      <c r="Y74" s="8"/>
      <c r="Z74" s="9"/>
      <c r="AA74" s="8"/>
      <c r="AB74" s="9"/>
      <c r="AC74" s="8"/>
      <c r="AD74" s="8"/>
      <c r="AE74" s="8"/>
      <c r="AF74" s="9"/>
      <c r="AG74" s="10"/>
      <c r="AH74" s="9"/>
      <c r="AI74" s="10"/>
      <c r="AJ74" s="9"/>
      <c r="AK74" s="5"/>
    </row>
    <row r="75" spans="1:37" ht="27" customHeight="1">
      <c r="A75" s="5"/>
      <c r="B75" s="5"/>
      <c r="C75" s="5"/>
      <c r="D75" s="5"/>
      <c r="E75" s="13"/>
      <c r="F75" s="14"/>
      <c r="G75" s="1"/>
      <c r="H75" s="14"/>
      <c r="I75" s="5"/>
      <c r="J75" s="1"/>
      <c r="K75" s="5"/>
      <c r="L75" s="6"/>
      <c r="M75" s="5"/>
      <c r="N75" s="15"/>
      <c r="O75" s="8"/>
      <c r="P75" s="9"/>
      <c r="Q75" s="8"/>
      <c r="R75" s="9"/>
      <c r="S75" s="8"/>
      <c r="T75" s="9"/>
      <c r="U75" s="8"/>
      <c r="V75" s="9"/>
      <c r="W75" s="8"/>
      <c r="X75" s="9"/>
      <c r="Y75" s="8"/>
      <c r="Z75" s="9"/>
      <c r="AA75" s="8"/>
      <c r="AB75" s="9"/>
      <c r="AC75" s="8"/>
      <c r="AD75" s="8"/>
      <c r="AE75" s="8"/>
      <c r="AF75" s="9"/>
      <c r="AG75" s="10"/>
      <c r="AH75" s="9"/>
      <c r="AI75" s="10"/>
      <c r="AJ75" s="9"/>
      <c r="AK75" s="5"/>
    </row>
    <row r="76" spans="1:37" ht="27" customHeight="1">
      <c r="A76" s="5"/>
      <c r="B76" s="5"/>
      <c r="C76" s="5"/>
      <c r="D76" s="5"/>
      <c r="E76" s="13"/>
      <c r="F76" s="14"/>
      <c r="G76" s="1"/>
      <c r="H76" s="14"/>
      <c r="I76" s="5"/>
      <c r="J76" s="1"/>
      <c r="K76" s="5"/>
      <c r="L76" s="6"/>
      <c r="M76" s="5"/>
      <c r="N76" s="15"/>
      <c r="O76" s="8"/>
      <c r="P76" s="9"/>
      <c r="Q76" s="8"/>
      <c r="R76" s="9"/>
      <c r="S76" s="8"/>
      <c r="T76" s="9"/>
      <c r="U76" s="8"/>
      <c r="V76" s="9"/>
      <c r="W76" s="8"/>
      <c r="X76" s="9"/>
      <c r="Y76" s="8"/>
      <c r="Z76" s="9"/>
      <c r="AA76" s="8"/>
      <c r="AB76" s="9"/>
      <c r="AC76" s="8"/>
      <c r="AD76" s="8"/>
      <c r="AE76" s="8"/>
      <c r="AF76" s="9"/>
      <c r="AG76" s="10"/>
      <c r="AH76" s="9"/>
      <c r="AI76" s="10"/>
      <c r="AJ76" s="9"/>
      <c r="AK76" s="5"/>
    </row>
    <row r="77" spans="1:37" ht="27" customHeight="1">
      <c r="A77" s="5"/>
      <c r="B77" s="5"/>
      <c r="C77" s="5"/>
      <c r="D77" s="5"/>
      <c r="E77" s="13"/>
      <c r="F77" s="14"/>
      <c r="G77" s="1"/>
      <c r="H77" s="14"/>
      <c r="I77" s="5"/>
      <c r="J77" s="1"/>
      <c r="K77" s="5"/>
      <c r="L77" s="6"/>
      <c r="M77" s="5"/>
      <c r="N77" s="15"/>
      <c r="O77" s="8"/>
      <c r="P77" s="9"/>
      <c r="Q77" s="8"/>
      <c r="R77" s="9"/>
      <c r="S77" s="8"/>
      <c r="T77" s="9"/>
      <c r="U77" s="8"/>
      <c r="V77" s="9"/>
      <c r="W77" s="8"/>
      <c r="X77" s="9"/>
      <c r="Y77" s="8"/>
      <c r="Z77" s="9"/>
      <c r="AA77" s="8"/>
      <c r="AB77" s="9"/>
      <c r="AC77" s="8"/>
      <c r="AD77" s="8"/>
      <c r="AE77" s="8"/>
      <c r="AF77" s="9"/>
      <c r="AG77" s="10"/>
      <c r="AH77" s="9"/>
      <c r="AI77" s="10"/>
      <c r="AJ77" s="9"/>
      <c r="AK77" s="5"/>
    </row>
    <row r="78" spans="1:37" ht="27" customHeight="1">
      <c r="A78" s="5"/>
      <c r="B78" s="5"/>
      <c r="C78" s="5"/>
      <c r="D78" s="5"/>
      <c r="E78" s="13"/>
      <c r="F78" s="14"/>
      <c r="G78" s="1"/>
      <c r="H78" s="14"/>
      <c r="I78" s="5"/>
      <c r="J78" s="1"/>
      <c r="K78" s="5"/>
      <c r="L78" s="6"/>
      <c r="M78" s="5"/>
      <c r="N78" s="15"/>
      <c r="O78" s="8"/>
      <c r="P78" s="9"/>
      <c r="Q78" s="8"/>
      <c r="R78" s="9"/>
      <c r="S78" s="8"/>
      <c r="T78" s="9"/>
      <c r="U78" s="8"/>
      <c r="V78" s="9"/>
      <c r="W78" s="8"/>
      <c r="X78" s="9"/>
      <c r="Y78" s="8"/>
      <c r="Z78" s="9"/>
      <c r="AA78" s="8"/>
      <c r="AB78" s="9"/>
      <c r="AC78" s="8"/>
      <c r="AD78" s="8"/>
      <c r="AE78" s="8"/>
      <c r="AF78" s="9"/>
      <c r="AG78" s="10"/>
      <c r="AH78" s="9"/>
      <c r="AI78" s="10"/>
      <c r="AJ78" s="9"/>
      <c r="AK78" s="5"/>
    </row>
    <row r="79" spans="1:37" ht="27" customHeight="1">
      <c r="A79" s="5"/>
      <c r="B79" s="5"/>
      <c r="C79" s="5"/>
      <c r="D79" s="5"/>
      <c r="E79" s="13"/>
      <c r="F79" s="14"/>
      <c r="G79" s="1"/>
      <c r="H79" s="14"/>
      <c r="I79" s="5"/>
      <c r="J79" s="1"/>
      <c r="K79" s="5"/>
      <c r="L79" s="6"/>
      <c r="M79" s="5"/>
      <c r="N79" s="15"/>
      <c r="O79" s="8"/>
      <c r="P79" s="9"/>
      <c r="Q79" s="8"/>
      <c r="R79" s="9"/>
      <c r="S79" s="8"/>
      <c r="T79" s="9"/>
      <c r="U79" s="8"/>
      <c r="V79" s="9"/>
      <c r="W79" s="8"/>
      <c r="X79" s="9"/>
      <c r="Y79" s="8"/>
      <c r="Z79" s="9"/>
      <c r="AA79" s="8"/>
      <c r="AB79" s="9"/>
      <c r="AC79" s="8"/>
      <c r="AD79" s="8"/>
      <c r="AE79" s="8"/>
      <c r="AF79" s="9"/>
      <c r="AG79" s="10"/>
      <c r="AH79" s="9"/>
      <c r="AI79" s="10"/>
      <c r="AJ79" s="9"/>
      <c r="AK79" s="5"/>
    </row>
    <row r="80" spans="1:37" ht="27" customHeight="1">
      <c r="A80" s="5"/>
      <c r="B80" s="5"/>
      <c r="C80" s="5"/>
      <c r="D80" s="5"/>
      <c r="E80" s="13"/>
      <c r="F80" s="14"/>
      <c r="G80" s="1"/>
      <c r="H80" s="14"/>
      <c r="I80" s="5"/>
      <c r="J80" s="1"/>
      <c r="K80" s="5"/>
      <c r="L80" s="6"/>
      <c r="M80" s="5"/>
      <c r="N80" s="15"/>
      <c r="O80" s="8"/>
      <c r="P80" s="9"/>
      <c r="Q80" s="8"/>
      <c r="R80" s="9"/>
      <c r="S80" s="8"/>
      <c r="T80" s="9"/>
      <c r="U80" s="8"/>
      <c r="V80" s="9"/>
      <c r="W80" s="8"/>
      <c r="X80" s="9"/>
      <c r="Y80" s="8"/>
      <c r="Z80" s="9"/>
      <c r="AA80" s="8"/>
      <c r="AB80" s="9"/>
      <c r="AC80" s="8"/>
      <c r="AD80" s="8"/>
      <c r="AE80" s="8"/>
      <c r="AF80" s="9"/>
      <c r="AG80" s="10"/>
      <c r="AH80" s="9"/>
      <c r="AI80" s="10"/>
      <c r="AJ80" s="9"/>
      <c r="AK80" s="5"/>
    </row>
    <row r="81" spans="1:37" ht="27" customHeight="1">
      <c r="A81" s="5"/>
      <c r="B81" s="5"/>
      <c r="C81" s="5"/>
      <c r="D81" s="5"/>
      <c r="E81" s="13"/>
      <c r="F81" s="14"/>
      <c r="G81" s="1"/>
      <c r="H81" s="14"/>
      <c r="I81" s="5"/>
      <c r="J81" s="1"/>
      <c r="K81" s="5"/>
      <c r="L81" s="6"/>
      <c r="M81" s="5"/>
      <c r="N81" s="15"/>
      <c r="O81" s="8"/>
      <c r="P81" s="9"/>
      <c r="Q81" s="8"/>
      <c r="R81" s="9"/>
      <c r="S81" s="8"/>
      <c r="T81" s="9"/>
      <c r="U81" s="8"/>
      <c r="V81" s="9"/>
      <c r="W81" s="8"/>
      <c r="X81" s="9"/>
      <c r="Y81" s="8"/>
      <c r="Z81" s="9"/>
      <c r="AA81" s="8"/>
      <c r="AB81" s="9"/>
      <c r="AC81" s="8"/>
      <c r="AD81" s="8"/>
      <c r="AE81" s="8"/>
      <c r="AF81" s="9"/>
      <c r="AG81" s="10"/>
      <c r="AH81" s="9"/>
      <c r="AI81" s="10"/>
      <c r="AJ81" s="9"/>
      <c r="AK81" s="5"/>
    </row>
    <row r="82" spans="1:37" ht="27" customHeight="1">
      <c r="A82" s="5"/>
      <c r="B82" s="5"/>
      <c r="C82" s="5"/>
      <c r="D82" s="5"/>
      <c r="E82" s="13"/>
      <c r="F82" s="14"/>
      <c r="G82" s="1"/>
      <c r="H82" s="14"/>
      <c r="I82" s="5"/>
      <c r="J82" s="1"/>
      <c r="K82" s="5"/>
      <c r="L82" s="6"/>
      <c r="M82" s="5"/>
      <c r="N82" s="15"/>
      <c r="O82" s="8"/>
      <c r="P82" s="9"/>
      <c r="Q82" s="8"/>
      <c r="R82" s="9"/>
      <c r="S82" s="8"/>
      <c r="T82" s="9"/>
      <c r="U82" s="8"/>
      <c r="V82" s="9"/>
      <c r="W82" s="8"/>
      <c r="X82" s="9"/>
      <c r="Y82" s="8"/>
      <c r="Z82" s="9"/>
      <c r="AA82" s="8"/>
      <c r="AB82" s="9"/>
      <c r="AC82" s="8"/>
      <c r="AD82" s="8"/>
      <c r="AE82" s="8"/>
      <c r="AF82" s="9"/>
      <c r="AG82" s="10"/>
      <c r="AH82" s="9"/>
      <c r="AI82" s="10"/>
      <c r="AJ82" s="9"/>
      <c r="AK82" s="5"/>
    </row>
    <row r="83" spans="1:37" ht="27" customHeight="1">
      <c r="A83" s="5"/>
      <c r="B83" s="5"/>
      <c r="C83" s="5"/>
      <c r="D83" s="5"/>
      <c r="E83" s="13"/>
      <c r="F83" s="14"/>
      <c r="G83" s="1"/>
      <c r="H83" s="14"/>
      <c r="I83" s="5"/>
      <c r="J83" s="1"/>
      <c r="K83" s="5"/>
      <c r="L83" s="6"/>
      <c r="M83" s="5"/>
      <c r="N83" s="15"/>
      <c r="O83" s="8"/>
      <c r="P83" s="9"/>
      <c r="Q83" s="8"/>
      <c r="R83" s="9"/>
      <c r="S83" s="8"/>
      <c r="T83" s="9"/>
      <c r="U83" s="8"/>
      <c r="V83" s="9"/>
      <c r="W83" s="8"/>
      <c r="X83" s="9"/>
      <c r="Y83" s="8"/>
      <c r="Z83" s="9"/>
      <c r="AA83" s="8"/>
      <c r="AB83" s="9"/>
      <c r="AC83" s="8"/>
      <c r="AD83" s="8"/>
      <c r="AE83" s="8"/>
      <c r="AF83" s="9"/>
      <c r="AG83" s="10"/>
      <c r="AH83" s="9"/>
      <c r="AI83" s="10"/>
      <c r="AJ83" s="9"/>
      <c r="AK83" s="5"/>
    </row>
    <row r="84" spans="1:37" ht="27" customHeight="1">
      <c r="A84" s="5"/>
      <c r="B84" s="5"/>
      <c r="C84" s="5"/>
      <c r="D84" s="5"/>
      <c r="E84" s="13"/>
      <c r="F84" s="14"/>
      <c r="G84" s="1"/>
      <c r="H84" s="14"/>
      <c r="I84" s="5"/>
      <c r="J84" s="1"/>
      <c r="K84" s="5"/>
      <c r="L84" s="6"/>
      <c r="M84" s="5"/>
      <c r="N84" s="15"/>
      <c r="O84" s="8"/>
      <c r="P84" s="9"/>
      <c r="Q84" s="8"/>
      <c r="R84" s="9"/>
      <c r="S84" s="8"/>
      <c r="T84" s="9"/>
      <c r="U84" s="8"/>
      <c r="V84" s="9"/>
      <c r="W84" s="8"/>
      <c r="X84" s="9"/>
      <c r="Y84" s="8"/>
      <c r="Z84" s="9"/>
      <c r="AA84" s="8"/>
      <c r="AB84" s="9"/>
      <c r="AC84" s="8"/>
      <c r="AD84" s="8"/>
      <c r="AE84" s="8"/>
      <c r="AF84" s="9"/>
      <c r="AG84" s="10"/>
      <c r="AH84" s="9"/>
      <c r="AI84" s="10"/>
      <c r="AJ84" s="9"/>
      <c r="AK84" s="5"/>
    </row>
    <row r="85" spans="1:37" ht="27" customHeight="1">
      <c r="A85" s="5"/>
      <c r="B85" s="5"/>
      <c r="C85" s="5"/>
      <c r="D85" s="5"/>
      <c r="E85" s="13"/>
      <c r="F85" s="14"/>
      <c r="G85" s="1"/>
      <c r="H85" s="14"/>
      <c r="I85" s="5"/>
      <c r="J85" s="1"/>
      <c r="K85" s="5"/>
      <c r="L85" s="6"/>
      <c r="M85" s="5"/>
      <c r="N85" s="15"/>
      <c r="O85" s="8"/>
      <c r="P85" s="9"/>
      <c r="Q85" s="8"/>
      <c r="R85" s="9"/>
      <c r="S85" s="8"/>
      <c r="T85" s="9"/>
      <c r="U85" s="8"/>
      <c r="V85" s="9"/>
      <c r="W85" s="8"/>
      <c r="X85" s="9"/>
      <c r="Y85" s="8"/>
      <c r="Z85" s="9"/>
      <c r="AA85" s="8"/>
      <c r="AB85" s="9"/>
      <c r="AC85" s="8"/>
      <c r="AD85" s="8"/>
      <c r="AE85" s="8"/>
      <c r="AF85" s="9"/>
      <c r="AG85" s="10"/>
      <c r="AH85" s="9"/>
      <c r="AI85" s="10"/>
      <c r="AJ85" s="9"/>
      <c r="AK85" s="5"/>
    </row>
    <row r="86" spans="1:37" ht="27" customHeight="1">
      <c r="A86" s="5"/>
      <c r="B86" s="5"/>
      <c r="C86" s="5"/>
      <c r="D86" s="5"/>
      <c r="E86" s="13"/>
      <c r="F86" s="14"/>
      <c r="G86" s="1"/>
      <c r="H86" s="14"/>
      <c r="I86" s="5"/>
      <c r="J86" s="1"/>
      <c r="K86" s="5"/>
      <c r="L86" s="6"/>
      <c r="M86" s="5"/>
      <c r="N86" s="15"/>
      <c r="O86" s="8"/>
      <c r="P86" s="9"/>
      <c r="Q86" s="8"/>
      <c r="R86" s="9"/>
      <c r="S86" s="8"/>
      <c r="T86" s="9"/>
      <c r="U86" s="8"/>
      <c r="V86" s="9"/>
      <c r="W86" s="8"/>
      <c r="X86" s="9"/>
      <c r="Y86" s="8"/>
      <c r="Z86" s="9"/>
      <c r="AA86" s="8"/>
      <c r="AB86" s="9"/>
      <c r="AC86" s="8"/>
      <c r="AD86" s="8"/>
      <c r="AE86" s="8"/>
      <c r="AF86" s="9"/>
      <c r="AG86" s="10"/>
      <c r="AH86" s="9"/>
      <c r="AI86" s="10"/>
      <c r="AJ86" s="9"/>
      <c r="AK86" s="5"/>
    </row>
    <row r="87" spans="1:37" ht="27" customHeight="1">
      <c r="A87" s="5"/>
      <c r="B87" s="5"/>
      <c r="C87" s="5"/>
      <c r="D87" s="5"/>
      <c r="E87" s="13"/>
      <c r="F87" s="14"/>
      <c r="G87" s="1"/>
      <c r="H87" s="14"/>
      <c r="I87" s="5"/>
      <c r="J87" s="1"/>
      <c r="K87" s="5"/>
      <c r="L87" s="6"/>
      <c r="M87" s="5"/>
      <c r="N87" s="15"/>
      <c r="O87" s="8"/>
      <c r="P87" s="9"/>
      <c r="Q87" s="8"/>
      <c r="R87" s="9"/>
      <c r="S87" s="8"/>
      <c r="T87" s="9"/>
      <c r="U87" s="8"/>
      <c r="V87" s="9"/>
      <c r="W87" s="8"/>
      <c r="X87" s="9"/>
      <c r="Y87" s="8"/>
      <c r="Z87" s="9"/>
      <c r="AA87" s="8"/>
      <c r="AB87" s="9"/>
      <c r="AC87" s="8"/>
      <c r="AD87" s="8"/>
      <c r="AE87" s="8"/>
      <c r="AF87" s="9"/>
      <c r="AG87" s="10"/>
      <c r="AH87" s="9"/>
      <c r="AI87" s="10"/>
      <c r="AJ87" s="9"/>
      <c r="AK87" s="5"/>
    </row>
    <row r="88" spans="1:37" ht="27" customHeight="1">
      <c r="A88" s="5"/>
      <c r="B88" s="5"/>
      <c r="C88" s="5"/>
      <c r="D88" s="5"/>
      <c r="E88" s="13"/>
      <c r="F88" s="14"/>
      <c r="G88" s="1"/>
      <c r="H88" s="14"/>
      <c r="I88" s="5"/>
      <c r="J88" s="1"/>
      <c r="K88" s="5"/>
      <c r="L88" s="6"/>
      <c r="M88" s="5"/>
      <c r="N88" s="15"/>
      <c r="O88" s="8"/>
      <c r="P88" s="9"/>
      <c r="Q88" s="8"/>
      <c r="R88" s="9"/>
      <c r="S88" s="8"/>
      <c r="T88" s="9"/>
      <c r="U88" s="8"/>
      <c r="V88" s="9"/>
      <c r="W88" s="8"/>
      <c r="X88" s="9"/>
      <c r="Y88" s="8"/>
      <c r="Z88" s="9"/>
      <c r="AA88" s="8"/>
      <c r="AB88" s="9"/>
      <c r="AC88" s="8"/>
      <c r="AD88" s="8"/>
      <c r="AE88" s="8"/>
      <c r="AF88" s="9"/>
      <c r="AG88" s="10"/>
      <c r="AH88" s="9"/>
      <c r="AI88" s="10"/>
      <c r="AJ88" s="9"/>
      <c r="AK88" s="5"/>
    </row>
    <row r="89" spans="1:37" ht="27" customHeight="1">
      <c r="A89" s="5"/>
      <c r="B89" s="5"/>
      <c r="C89" s="5"/>
      <c r="D89" s="5"/>
      <c r="E89" s="13"/>
      <c r="F89" s="14"/>
      <c r="G89" s="1"/>
      <c r="H89" s="14"/>
      <c r="I89" s="5"/>
      <c r="J89" s="1"/>
      <c r="K89" s="5"/>
      <c r="L89" s="6"/>
      <c r="M89" s="5"/>
      <c r="N89" s="15"/>
      <c r="O89" s="8"/>
      <c r="P89" s="9"/>
      <c r="Q89" s="8"/>
      <c r="R89" s="9"/>
      <c r="S89" s="8"/>
      <c r="T89" s="9"/>
      <c r="U89" s="8"/>
      <c r="V89" s="9"/>
      <c r="W89" s="8"/>
      <c r="X89" s="9"/>
      <c r="Y89" s="8"/>
      <c r="Z89" s="9"/>
      <c r="AA89" s="8"/>
      <c r="AB89" s="9"/>
      <c r="AC89" s="8"/>
      <c r="AD89" s="8"/>
      <c r="AE89" s="8"/>
      <c r="AF89" s="9"/>
      <c r="AG89" s="10"/>
      <c r="AH89" s="9"/>
      <c r="AI89" s="10"/>
      <c r="AJ89" s="9"/>
      <c r="AK89" s="5"/>
    </row>
    <row r="90" spans="1:37" ht="27" customHeight="1">
      <c r="A90" s="5"/>
      <c r="B90" s="5"/>
      <c r="C90" s="5"/>
      <c r="D90" s="5"/>
      <c r="E90" s="13"/>
      <c r="F90" s="14"/>
      <c r="G90" s="1"/>
      <c r="H90" s="14"/>
      <c r="I90" s="5"/>
      <c r="J90" s="1"/>
      <c r="K90" s="5"/>
      <c r="L90" s="6"/>
      <c r="M90" s="5"/>
      <c r="N90" s="15"/>
      <c r="O90" s="8"/>
      <c r="P90" s="9"/>
      <c r="Q90" s="8"/>
      <c r="R90" s="9"/>
      <c r="S90" s="8"/>
      <c r="T90" s="9"/>
      <c r="U90" s="8"/>
      <c r="V90" s="9"/>
      <c r="W90" s="8"/>
      <c r="X90" s="9"/>
      <c r="Y90" s="8"/>
      <c r="Z90" s="9"/>
      <c r="AA90" s="8"/>
      <c r="AB90" s="9"/>
      <c r="AC90" s="8"/>
      <c r="AD90" s="8"/>
      <c r="AE90" s="8"/>
      <c r="AF90" s="9"/>
      <c r="AG90" s="10"/>
      <c r="AH90" s="9"/>
      <c r="AI90" s="10"/>
      <c r="AJ90" s="9"/>
      <c r="AK90" s="5"/>
    </row>
    <row r="91" spans="1:37" ht="27" customHeight="1">
      <c r="A91" s="5"/>
      <c r="B91" s="5"/>
      <c r="C91" s="5"/>
      <c r="D91" s="5"/>
      <c r="E91" s="13"/>
      <c r="F91" s="14"/>
      <c r="G91" s="1"/>
      <c r="H91" s="14"/>
      <c r="I91" s="5"/>
      <c r="J91" s="1"/>
      <c r="K91" s="5"/>
      <c r="L91" s="6"/>
      <c r="M91" s="5"/>
      <c r="N91" s="15"/>
      <c r="O91" s="8"/>
      <c r="P91" s="9"/>
      <c r="Q91" s="8"/>
      <c r="R91" s="9"/>
      <c r="S91" s="8"/>
      <c r="T91" s="9"/>
      <c r="U91" s="8"/>
      <c r="V91" s="9"/>
      <c r="W91" s="8"/>
      <c r="X91" s="9"/>
      <c r="Y91" s="8"/>
      <c r="Z91" s="9"/>
      <c r="AA91" s="8"/>
      <c r="AB91" s="9"/>
      <c r="AC91" s="8"/>
      <c r="AD91" s="8"/>
      <c r="AE91" s="8"/>
      <c r="AF91" s="9"/>
      <c r="AG91" s="10"/>
      <c r="AH91" s="9"/>
      <c r="AI91" s="10"/>
      <c r="AJ91" s="9"/>
      <c r="AK91" s="5"/>
    </row>
    <row r="92" spans="1:37" ht="27" customHeight="1">
      <c r="A92" s="5"/>
      <c r="B92" s="5"/>
      <c r="C92" s="5"/>
      <c r="D92" s="5"/>
      <c r="E92" s="13"/>
      <c r="F92" s="14"/>
      <c r="G92" s="1"/>
      <c r="H92" s="14"/>
      <c r="I92" s="5"/>
      <c r="J92" s="1"/>
      <c r="K92" s="5"/>
      <c r="L92" s="6"/>
      <c r="M92" s="5"/>
      <c r="N92" s="15"/>
      <c r="O92" s="8"/>
      <c r="P92" s="9"/>
      <c r="Q92" s="8"/>
      <c r="R92" s="9"/>
      <c r="S92" s="8"/>
      <c r="T92" s="9"/>
      <c r="U92" s="8"/>
      <c r="V92" s="9"/>
      <c r="W92" s="8"/>
      <c r="X92" s="9"/>
      <c r="Y92" s="8"/>
      <c r="Z92" s="9"/>
      <c r="AA92" s="8"/>
      <c r="AB92" s="9"/>
      <c r="AC92" s="8"/>
      <c r="AD92" s="8"/>
      <c r="AE92" s="8"/>
      <c r="AF92" s="9"/>
      <c r="AG92" s="10"/>
      <c r="AH92" s="9"/>
      <c r="AI92" s="10"/>
      <c r="AJ92" s="9"/>
      <c r="AK92" s="5"/>
    </row>
    <row r="93" spans="1:37" ht="27" customHeight="1">
      <c r="A93" s="5"/>
      <c r="B93" s="5"/>
      <c r="C93" s="5"/>
      <c r="D93" s="5"/>
      <c r="E93" s="13"/>
      <c r="F93" s="14"/>
      <c r="G93" s="1"/>
      <c r="H93" s="14"/>
      <c r="I93" s="5"/>
      <c r="J93" s="1"/>
      <c r="K93" s="5"/>
      <c r="L93" s="6"/>
      <c r="M93" s="5"/>
      <c r="N93" s="15"/>
      <c r="O93" s="8"/>
      <c r="P93" s="9"/>
      <c r="Q93" s="8"/>
      <c r="R93" s="9"/>
      <c r="S93" s="8"/>
      <c r="T93" s="9"/>
      <c r="U93" s="8"/>
      <c r="V93" s="9"/>
      <c r="W93" s="8"/>
      <c r="X93" s="9"/>
      <c r="Y93" s="8"/>
      <c r="Z93" s="9"/>
      <c r="AA93" s="8"/>
      <c r="AB93" s="9"/>
      <c r="AC93" s="8"/>
      <c r="AD93" s="8"/>
      <c r="AE93" s="8"/>
      <c r="AF93" s="9"/>
      <c r="AG93" s="10"/>
      <c r="AH93" s="9"/>
      <c r="AI93" s="10"/>
      <c r="AJ93" s="9"/>
      <c r="AK93" s="5"/>
    </row>
    <row r="94" spans="1:37" ht="27" customHeight="1">
      <c r="A94" s="5"/>
      <c r="B94" s="5"/>
      <c r="C94" s="5"/>
      <c r="D94" s="5"/>
      <c r="E94" s="13"/>
      <c r="F94" s="14"/>
      <c r="G94" s="1"/>
      <c r="H94" s="14"/>
      <c r="I94" s="5"/>
      <c r="J94" s="1"/>
      <c r="K94" s="5"/>
      <c r="L94" s="6"/>
      <c r="M94" s="5"/>
      <c r="N94" s="15"/>
      <c r="O94" s="8"/>
      <c r="P94" s="9"/>
      <c r="Q94" s="8"/>
      <c r="R94" s="9"/>
      <c r="S94" s="8"/>
      <c r="T94" s="9"/>
      <c r="U94" s="8"/>
      <c r="V94" s="9"/>
      <c r="W94" s="8"/>
      <c r="X94" s="9"/>
      <c r="Y94" s="8"/>
      <c r="Z94" s="9"/>
      <c r="AA94" s="8"/>
      <c r="AB94" s="9"/>
      <c r="AC94" s="8"/>
      <c r="AD94" s="8"/>
      <c r="AE94" s="8"/>
      <c r="AF94" s="9"/>
      <c r="AG94" s="10"/>
      <c r="AH94" s="9"/>
      <c r="AI94" s="10"/>
      <c r="AJ94" s="9"/>
      <c r="AK94" s="5"/>
    </row>
    <row r="95" spans="1:37" ht="27" customHeight="1">
      <c r="A95" s="5"/>
      <c r="B95" s="5"/>
      <c r="C95" s="5"/>
      <c r="D95" s="5"/>
      <c r="E95" s="13"/>
      <c r="F95" s="14"/>
      <c r="G95" s="1"/>
      <c r="H95" s="14"/>
      <c r="I95" s="5"/>
      <c r="J95" s="1"/>
      <c r="K95" s="5"/>
      <c r="L95" s="6"/>
      <c r="M95" s="5"/>
      <c r="N95" s="15"/>
      <c r="O95" s="8"/>
      <c r="P95" s="9"/>
      <c r="Q95" s="8"/>
      <c r="R95" s="9"/>
      <c r="S95" s="8"/>
      <c r="T95" s="9"/>
      <c r="U95" s="8"/>
      <c r="V95" s="9"/>
      <c r="W95" s="8"/>
      <c r="X95" s="9"/>
      <c r="Y95" s="8"/>
      <c r="Z95" s="9"/>
      <c r="AA95" s="8"/>
      <c r="AB95" s="9"/>
      <c r="AC95" s="8"/>
      <c r="AD95" s="8"/>
      <c r="AE95" s="8"/>
      <c r="AF95" s="9"/>
      <c r="AG95" s="10"/>
      <c r="AH95" s="9"/>
      <c r="AI95" s="10"/>
      <c r="AJ95" s="9"/>
      <c r="AK95" s="5"/>
    </row>
    <row r="96" spans="1:37" ht="27" customHeight="1">
      <c r="A96" s="5"/>
      <c r="B96" s="5"/>
      <c r="C96" s="5"/>
      <c r="D96" s="5"/>
      <c r="E96" s="13"/>
      <c r="F96" s="14"/>
      <c r="G96" s="1"/>
      <c r="H96" s="14"/>
      <c r="I96" s="5"/>
      <c r="J96" s="1"/>
      <c r="K96" s="5"/>
      <c r="L96" s="6"/>
      <c r="M96" s="5"/>
      <c r="N96" s="15"/>
      <c r="O96" s="8"/>
      <c r="P96" s="9"/>
      <c r="Q96" s="8"/>
      <c r="R96" s="9"/>
      <c r="S96" s="8"/>
      <c r="T96" s="9"/>
      <c r="U96" s="8"/>
      <c r="V96" s="9"/>
      <c r="W96" s="8"/>
      <c r="X96" s="9"/>
      <c r="Y96" s="8"/>
      <c r="Z96" s="9"/>
      <c r="AA96" s="8"/>
      <c r="AB96" s="9"/>
      <c r="AC96" s="8"/>
      <c r="AD96" s="8"/>
      <c r="AE96" s="8"/>
      <c r="AF96" s="9"/>
      <c r="AG96" s="10"/>
      <c r="AH96" s="9"/>
      <c r="AI96" s="10"/>
      <c r="AJ96" s="9"/>
      <c r="AK96" s="5"/>
    </row>
    <row r="97" spans="1:37" ht="27" customHeight="1">
      <c r="A97" s="5"/>
      <c r="B97" s="5"/>
      <c r="C97" s="5"/>
      <c r="D97" s="5"/>
      <c r="E97" s="13"/>
      <c r="F97" s="14"/>
      <c r="G97" s="1"/>
      <c r="H97" s="14"/>
      <c r="I97" s="5"/>
      <c r="J97" s="1"/>
      <c r="K97" s="5"/>
      <c r="L97" s="6"/>
      <c r="M97" s="5"/>
      <c r="N97" s="15"/>
      <c r="O97" s="8"/>
      <c r="P97" s="9"/>
      <c r="Q97" s="8"/>
      <c r="R97" s="9"/>
      <c r="S97" s="8"/>
      <c r="T97" s="9"/>
      <c r="U97" s="8"/>
      <c r="V97" s="9"/>
      <c r="W97" s="8"/>
      <c r="X97" s="9"/>
      <c r="Y97" s="8"/>
      <c r="Z97" s="9"/>
      <c r="AA97" s="8"/>
      <c r="AB97" s="9"/>
      <c r="AC97" s="8"/>
      <c r="AD97" s="8"/>
      <c r="AE97" s="8"/>
      <c r="AF97" s="9"/>
      <c r="AG97" s="10"/>
      <c r="AH97" s="9"/>
      <c r="AI97" s="10"/>
      <c r="AJ97" s="9"/>
      <c r="AK97" s="5"/>
    </row>
    <row r="98" spans="1:37" ht="27" customHeight="1">
      <c r="A98" s="5"/>
      <c r="B98" s="5"/>
      <c r="C98" s="5"/>
      <c r="D98" s="5"/>
      <c r="E98" s="13"/>
      <c r="F98" s="14"/>
      <c r="G98" s="1"/>
      <c r="H98" s="14"/>
      <c r="I98" s="5"/>
      <c r="J98" s="1"/>
      <c r="K98" s="5"/>
      <c r="L98" s="6"/>
      <c r="M98" s="5"/>
      <c r="N98" s="15"/>
      <c r="O98" s="8"/>
      <c r="P98" s="9"/>
      <c r="Q98" s="8"/>
      <c r="R98" s="9"/>
      <c r="S98" s="8"/>
      <c r="T98" s="9"/>
      <c r="U98" s="8"/>
      <c r="V98" s="9"/>
      <c r="W98" s="8"/>
      <c r="X98" s="9"/>
      <c r="Y98" s="8"/>
      <c r="Z98" s="9"/>
      <c r="AA98" s="8"/>
      <c r="AB98" s="9"/>
      <c r="AC98" s="8"/>
      <c r="AD98" s="8"/>
      <c r="AE98" s="8"/>
      <c r="AF98" s="9"/>
      <c r="AG98" s="10"/>
      <c r="AH98" s="9"/>
      <c r="AI98" s="10"/>
      <c r="AJ98" s="9"/>
      <c r="AK98" s="5"/>
    </row>
    <row r="99" spans="1:37" ht="27" customHeight="1">
      <c r="A99" s="5"/>
      <c r="B99" s="5"/>
      <c r="C99" s="5"/>
      <c r="D99" s="5"/>
      <c r="E99" s="13"/>
      <c r="F99" s="14"/>
      <c r="G99" s="1"/>
      <c r="H99" s="14"/>
      <c r="I99" s="5"/>
      <c r="J99" s="1"/>
      <c r="K99" s="5"/>
      <c r="L99" s="6"/>
      <c r="M99" s="5"/>
      <c r="N99" s="15"/>
      <c r="O99" s="8"/>
      <c r="P99" s="9"/>
      <c r="Q99" s="8"/>
      <c r="R99" s="9"/>
      <c r="S99" s="8"/>
      <c r="T99" s="9"/>
      <c r="U99" s="8"/>
      <c r="V99" s="9"/>
      <c r="W99" s="8"/>
      <c r="X99" s="9"/>
      <c r="Y99" s="8"/>
      <c r="Z99" s="9"/>
      <c r="AA99" s="8"/>
      <c r="AB99" s="9"/>
      <c r="AC99" s="8"/>
      <c r="AD99" s="8"/>
      <c r="AE99" s="8"/>
      <c r="AF99" s="9"/>
      <c r="AG99" s="10"/>
      <c r="AH99" s="9"/>
      <c r="AI99" s="10"/>
      <c r="AJ99" s="9"/>
      <c r="AK99" s="5"/>
    </row>
    <row r="100" spans="1:37" ht="27" customHeight="1">
      <c r="A100" s="5"/>
      <c r="B100" s="5"/>
      <c r="C100" s="5"/>
      <c r="D100" s="5"/>
      <c r="E100" s="13"/>
      <c r="F100" s="14"/>
      <c r="G100" s="1"/>
      <c r="H100" s="14"/>
      <c r="I100" s="5"/>
      <c r="J100" s="1"/>
      <c r="K100" s="5"/>
      <c r="L100" s="6"/>
      <c r="M100" s="5"/>
      <c r="N100" s="15"/>
      <c r="O100" s="8"/>
      <c r="P100" s="9"/>
      <c r="Q100" s="8"/>
      <c r="R100" s="9"/>
      <c r="S100" s="8"/>
      <c r="T100" s="9"/>
      <c r="U100" s="8"/>
      <c r="V100" s="9"/>
      <c r="W100" s="8"/>
      <c r="X100" s="9"/>
      <c r="Y100" s="8"/>
      <c r="Z100" s="9"/>
      <c r="AA100" s="8"/>
      <c r="AB100" s="9"/>
      <c r="AC100" s="8"/>
      <c r="AD100" s="8"/>
      <c r="AE100" s="8"/>
      <c r="AF100" s="9"/>
      <c r="AG100" s="10"/>
      <c r="AH100" s="9"/>
      <c r="AI100" s="10"/>
      <c r="AJ100" s="9"/>
      <c r="AK100" s="5"/>
    </row>
    <row r="101" spans="1:37" ht="27" customHeight="1">
      <c r="A101" s="5"/>
      <c r="B101" s="5"/>
      <c r="C101" s="5"/>
      <c r="D101" s="5"/>
      <c r="E101" s="13"/>
      <c r="F101" s="14"/>
      <c r="G101" s="1"/>
      <c r="H101" s="14"/>
      <c r="I101" s="5"/>
      <c r="J101" s="1"/>
      <c r="K101" s="5"/>
      <c r="L101" s="6"/>
      <c r="M101" s="5"/>
      <c r="N101" s="15"/>
      <c r="O101" s="8"/>
      <c r="P101" s="9"/>
      <c r="Q101" s="8"/>
      <c r="R101" s="9"/>
      <c r="S101" s="8"/>
      <c r="T101" s="9"/>
      <c r="U101" s="8"/>
      <c r="V101" s="9"/>
      <c r="W101" s="8"/>
      <c r="X101" s="9"/>
      <c r="Y101" s="8"/>
      <c r="Z101" s="9"/>
      <c r="AA101" s="8"/>
      <c r="AB101" s="9"/>
      <c r="AC101" s="8"/>
      <c r="AD101" s="8"/>
      <c r="AE101" s="8"/>
      <c r="AF101" s="9"/>
      <c r="AG101" s="10"/>
      <c r="AH101" s="9"/>
      <c r="AI101" s="10"/>
      <c r="AJ101" s="9"/>
      <c r="AK101" s="5"/>
    </row>
    <row r="102" spans="1:37" ht="27" customHeight="1">
      <c r="A102" s="5"/>
      <c r="B102" s="5"/>
      <c r="C102" s="5"/>
      <c r="D102" s="5"/>
      <c r="E102" s="13"/>
      <c r="F102" s="14"/>
      <c r="G102" s="1"/>
      <c r="H102" s="14"/>
      <c r="I102" s="5"/>
      <c r="J102" s="1"/>
      <c r="K102" s="5"/>
      <c r="L102" s="6"/>
      <c r="M102" s="5"/>
      <c r="N102" s="15"/>
      <c r="O102" s="8"/>
      <c r="P102" s="9"/>
      <c r="Q102" s="8"/>
      <c r="R102" s="9"/>
      <c r="S102" s="8"/>
      <c r="T102" s="9"/>
      <c r="U102" s="8"/>
      <c r="V102" s="9"/>
      <c r="W102" s="8"/>
      <c r="X102" s="9"/>
      <c r="Y102" s="8"/>
      <c r="Z102" s="9"/>
      <c r="AA102" s="8"/>
      <c r="AB102" s="9"/>
      <c r="AC102" s="8"/>
      <c r="AD102" s="8"/>
      <c r="AE102" s="8"/>
      <c r="AF102" s="9"/>
      <c r="AG102" s="10"/>
      <c r="AH102" s="9"/>
      <c r="AI102" s="10"/>
      <c r="AJ102" s="9"/>
      <c r="AK102" s="5"/>
    </row>
    <row r="103" spans="1:37" ht="27" customHeight="1">
      <c r="A103" s="5"/>
      <c r="B103" s="5"/>
      <c r="C103" s="5"/>
      <c r="D103" s="5"/>
      <c r="E103" s="13"/>
      <c r="F103" s="14"/>
      <c r="G103" s="1"/>
      <c r="H103" s="14"/>
      <c r="I103" s="5"/>
      <c r="J103" s="1"/>
      <c r="K103" s="5"/>
      <c r="L103" s="6"/>
      <c r="M103" s="5"/>
      <c r="N103" s="15"/>
      <c r="O103" s="8"/>
      <c r="P103" s="9"/>
      <c r="Q103" s="8"/>
      <c r="R103" s="9"/>
      <c r="S103" s="8"/>
      <c r="T103" s="9"/>
      <c r="U103" s="8"/>
      <c r="V103" s="9"/>
      <c r="W103" s="8"/>
      <c r="X103" s="9"/>
      <c r="Y103" s="8"/>
      <c r="Z103" s="9"/>
      <c r="AA103" s="8"/>
      <c r="AB103" s="9"/>
      <c r="AC103" s="8"/>
      <c r="AD103" s="8"/>
      <c r="AE103" s="8"/>
      <c r="AF103" s="9"/>
      <c r="AG103" s="10"/>
      <c r="AH103" s="9"/>
      <c r="AI103" s="10"/>
      <c r="AJ103" s="9"/>
      <c r="AK103" s="5"/>
    </row>
    <row r="104" spans="1:37" ht="27" customHeight="1">
      <c r="A104" s="5"/>
      <c r="B104" s="5"/>
      <c r="C104" s="5"/>
      <c r="D104" s="5"/>
      <c r="E104" s="13"/>
      <c r="F104" s="14"/>
      <c r="G104" s="1"/>
      <c r="H104" s="14"/>
      <c r="I104" s="5"/>
      <c r="J104" s="1"/>
      <c r="K104" s="5"/>
      <c r="L104" s="6"/>
      <c r="M104" s="5"/>
      <c r="N104" s="15"/>
      <c r="O104" s="8"/>
      <c r="P104" s="9"/>
      <c r="Q104" s="8"/>
      <c r="R104" s="9"/>
      <c r="S104" s="8"/>
      <c r="T104" s="9"/>
      <c r="U104" s="8"/>
      <c r="V104" s="9"/>
      <c r="W104" s="8"/>
      <c r="X104" s="9"/>
      <c r="Y104" s="8"/>
      <c r="Z104" s="9"/>
      <c r="AA104" s="8"/>
      <c r="AB104" s="9"/>
      <c r="AC104" s="8"/>
      <c r="AD104" s="8"/>
      <c r="AE104" s="8"/>
      <c r="AF104" s="9"/>
      <c r="AG104" s="10"/>
      <c r="AH104" s="9"/>
      <c r="AI104" s="10"/>
      <c r="AJ104" s="9"/>
      <c r="AK104" s="5"/>
    </row>
    <row r="105" spans="1:37" ht="27" customHeight="1">
      <c r="A105" s="5"/>
      <c r="B105" s="5"/>
      <c r="C105" s="5"/>
      <c r="D105" s="5"/>
      <c r="E105" s="13"/>
      <c r="F105" s="14"/>
      <c r="G105" s="1"/>
      <c r="H105" s="14"/>
      <c r="I105" s="5"/>
      <c r="J105" s="1"/>
      <c r="K105" s="5"/>
      <c r="L105" s="6"/>
      <c r="M105" s="5"/>
      <c r="N105" s="15"/>
      <c r="O105" s="8"/>
      <c r="P105" s="9"/>
      <c r="Q105" s="8"/>
      <c r="R105" s="9"/>
      <c r="S105" s="8"/>
      <c r="T105" s="9"/>
      <c r="U105" s="8"/>
      <c r="V105" s="9"/>
      <c r="W105" s="8"/>
      <c r="X105" s="9"/>
      <c r="Y105" s="8"/>
      <c r="Z105" s="9"/>
      <c r="AA105" s="8"/>
      <c r="AB105" s="9"/>
      <c r="AC105" s="8"/>
      <c r="AD105" s="8"/>
      <c r="AE105" s="8"/>
      <c r="AF105" s="9"/>
      <c r="AG105" s="10"/>
      <c r="AH105" s="9"/>
      <c r="AI105" s="10"/>
      <c r="AJ105" s="9"/>
      <c r="AK105" s="5"/>
    </row>
    <row r="106" spans="1:37" ht="27" customHeight="1">
      <c r="A106" s="5"/>
      <c r="B106" s="5"/>
      <c r="C106" s="5"/>
      <c r="D106" s="5"/>
      <c r="E106" s="13"/>
      <c r="F106" s="14"/>
      <c r="G106" s="1"/>
      <c r="H106" s="14"/>
      <c r="I106" s="5"/>
      <c r="J106" s="1"/>
      <c r="K106" s="5"/>
      <c r="L106" s="6"/>
      <c r="M106" s="5"/>
      <c r="N106" s="15"/>
      <c r="O106" s="8"/>
      <c r="P106" s="9"/>
      <c r="Q106" s="8"/>
      <c r="R106" s="9"/>
      <c r="S106" s="8"/>
      <c r="T106" s="9"/>
      <c r="U106" s="8"/>
      <c r="V106" s="9"/>
      <c r="W106" s="8"/>
      <c r="X106" s="9"/>
      <c r="Y106" s="8"/>
      <c r="Z106" s="9"/>
      <c r="AA106" s="8"/>
      <c r="AB106" s="9"/>
      <c r="AC106" s="8"/>
      <c r="AD106" s="8"/>
      <c r="AE106" s="8"/>
      <c r="AF106" s="9"/>
      <c r="AG106" s="10"/>
      <c r="AH106" s="9"/>
      <c r="AI106" s="10"/>
      <c r="AJ106" s="9"/>
      <c r="AK106" s="5"/>
    </row>
    <row r="107" spans="1:37" ht="27" customHeight="1">
      <c r="A107" s="5"/>
      <c r="B107" s="5"/>
      <c r="C107" s="5"/>
      <c r="D107" s="5"/>
      <c r="E107" s="13"/>
      <c r="F107" s="14"/>
      <c r="G107" s="1"/>
      <c r="H107" s="14"/>
      <c r="I107" s="5"/>
      <c r="J107" s="1"/>
      <c r="K107" s="5"/>
      <c r="L107" s="6"/>
      <c r="M107" s="5"/>
      <c r="N107" s="15"/>
      <c r="O107" s="8"/>
      <c r="P107" s="9"/>
      <c r="Q107" s="8"/>
      <c r="R107" s="9"/>
      <c r="S107" s="8"/>
      <c r="T107" s="9"/>
      <c r="U107" s="8"/>
      <c r="V107" s="9"/>
      <c r="W107" s="8"/>
      <c r="X107" s="9"/>
      <c r="Y107" s="8"/>
      <c r="Z107" s="9"/>
      <c r="AA107" s="8"/>
      <c r="AB107" s="9"/>
      <c r="AC107" s="8"/>
      <c r="AD107" s="8"/>
      <c r="AE107" s="8"/>
      <c r="AF107" s="9"/>
      <c r="AG107" s="10"/>
      <c r="AH107" s="9"/>
      <c r="AI107" s="10"/>
      <c r="AJ107" s="9"/>
      <c r="AK107" s="5"/>
    </row>
    <row r="108" spans="1:37" ht="27" customHeight="1">
      <c r="A108" s="5"/>
      <c r="B108" s="5"/>
      <c r="C108" s="5"/>
      <c r="D108" s="5"/>
      <c r="E108" s="13"/>
      <c r="F108" s="14"/>
      <c r="G108" s="1"/>
      <c r="H108" s="14"/>
      <c r="I108" s="5"/>
      <c r="J108" s="1"/>
      <c r="K108" s="5"/>
      <c r="L108" s="6"/>
      <c r="M108" s="5"/>
      <c r="N108" s="15"/>
      <c r="O108" s="8"/>
      <c r="P108" s="9"/>
      <c r="Q108" s="8"/>
      <c r="R108" s="9"/>
      <c r="S108" s="8"/>
      <c r="T108" s="9"/>
      <c r="U108" s="8"/>
      <c r="V108" s="9"/>
      <c r="W108" s="8"/>
      <c r="X108" s="9"/>
      <c r="Y108" s="8"/>
      <c r="Z108" s="9"/>
      <c r="AA108" s="8"/>
      <c r="AB108" s="9"/>
      <c r="AC108" s="8"/>
      <c r="AD108" s="8"/>
      <c r="AE108" s="8"/>
      <c r="AF108" s="9"/>
      <c r="AG108" s="10"/>
      <c r="AH108" s="9"/>
      <c r="AI108" s="10"/>
      <c r="AJ108" s="9"/>
      <c r="AK108" s="5"/>
    </row>
    <row r="109" spans="1:37" ht="27" customHeight="1">
      <c r="A109" s="5"/>
      <c r="B109" s="5"/>
      <c r="C109" s="5"/>
      <c r="D109" s="5"/>
      <c r="E109" s="13"/>
      <c r="F109" s="14"/>
      <c r="G109" s="1"/>
      <c r="H109" s="14"/>
      <c r="I109" s="5"/>
      <c r="J109" s="1"/>
      <c r="K109" s="5"/>
      <c r="L109" s="6"/>
      <c r="M109" s="5"/>
      <c r="N109" s="15"/>
      <c r="O109" s="8"/>
      <c r="P109" s="9"/>
      <c r="Q109" s="8"/>
      <c r="R109" s="9"/>
      <c r="S109" s="8"/>
      <c r="T109" s="9"/>
      <c r="U109" s="8"/>
      <c r="V109" s="9"/>
      <c r="W109" s="8"/>
      <c r="X109" s="9"/>
      <c r="Y109" s="8"/>
      <c r="Z109" s="9"/>
      <c r="AA109" s="8"/>
      <c r="AB109" s="9"/>
      <c r="AC109" s="8"/>
      <c r="AD109" s="8"/>
      <c r="AE109" s="8"/>
      <c r="AF109" s="9"/>
      <c r="AG109" s="10"/>
      <c r="AH109" s="9"/>
      <c r="AI109" s="10"/>
      <c r="AJ109" s="9"/>
      <c r="AK109" s="5"/>
    </row>
    <row r="110" spans="1:37" ht="27" customHeight="1">
      <c r="A110" s="5"/>
      <c r="B110" s="5"/>
      <c r="C110" s="5"/>
      <c r="D110" s="5"/>
      <c r="E110" s="13"/>
      <c r="F110" s="14"/>
      <c r="G110" s="1"/>
      <c r="H110" s="14"/>
      <c r="I110" s="5"/>
      <c r="J110" s="1"/>
      <c r="K110" s="5"/>
      <c r="L110" s="6"/>
      <c r="M110" s="5"/>
      <c r="N110" s="15"/>
      <c r="O110" s="8"/>
      <c r="P110" s="9"/>
      <c r="Q110" s="8"/>
      <c r="R110" s="9"/>
      <c r="S110" s="8"/>
      <c r="T110" s="9"/>
      <c r="U110" s="8"/>
      <c r="V110" s="9"/>
      <c r="W110" s="8"/>
      <c r="X110" s="9"/>
      <c r="Y110" s="8"/>
      <c r="Z110" s="9"/>
      <c r="AA110" s="8"/>
      <c r="AB110" s="9"/>
      <c r="AC110" s="8"/>
      <c r="AD110" s="8"/>
      <c r="AE110" s="8"/>
      <c r="AF110" s="9"/>
      <c r="AG110" s="10"/>
      <c r="AH110" s="9"/>
      <c r="AI110" s="10"/>
      <c r="AJ110" s="9"/>
      <c r="AK110" s="5"/>
    </row>
    <row r="111" spans="1:37" ht="27" customHeight="1">
      <c r="A111" s="5"/>
      <c r="B111" s="5"/>
      <c r="C111" s="5"/>
      <c r="D111" s="5"/>
      <c r="E111" s="13"/>
      <c r="F111" s="14"/>
      <c r="G111" s="1"/>
      <c r="H111" s="14"/>
      <c r="I111" s="5"/>
      <c r="J111" s="1"/>
      <c r="K111" s="5"/>
      <c r="L111" s="6"/>
      <c r="M111" s="5"/>
      <c r="N111" s="15"/>
      <c r="O111" s="8"/>
      <c r="P111" s="9"/>
      <c r="Q111" s="8"/>
      <c r="R111" s="9"/>
      <c r="S111" s="8"/>
      <c r="T111" s="9"/>
      <c r="U111" s="8"/>
      <c r="V111" s="9"/>
      <c r="W111" s="8"/>
      <c r="X111" s="9"/>
      <c r="Y111" s="8"/>
      <c r="Z111" s="9"/>
      <c r="AA111" s="8"/>
      <c r="AB111" s="9"/>
      <c r="AC111" s="8"/>
      <c r="AD111" s="8"/>
      <c r="AE111" s="8"/>
      <c r="AF111" s="9"/>
      <c r="AG111" s="10"/>
      <c r="AH111" s="9"/>
      <c r="AI111" s="10"/>
      <c r="AJ111" s="9"/>
      <c r="AK111" s="5"/>
    </row>
    <row r="112" spans="1:37" ht="27" customHeight="1">
      <c r="A112" s="5"/>
      <c r="B112" s="5"/>
      <c r="C112" s="5"/>
      <c r="D112" s="5"/>
      <c r="E112" s="13"/>
      <c r="F112" s="14"/>
      <c r="G112" s="1"/>
      <c r="H112" s="14"/>
      <c r="I112" s="5"/>
      <c r="J112" s="1"/>
      <c r="K112" s="5"/>
      <c r="L112" s="6"/>
      <c r="M112" s="5"/>
      <c r="N112" s="15"/>
      <c r="O112" s="8"/>
      <c r="P112" s="9"/>
      <c r="Q112" s="8"/>
      <c r="R112" s="9"/>
      <c r="S112" s="8"/>
      <c r="T112" s="9"/>
      <c r="U112" s="8"/>
      <c r="V112" s="9"/>
      <c r="W112" s="8"/>
      <c r="X112" s="9"/>
      <c r="Y112" s="8"/>
      <c r="Z112" s="9"/>
      <c r="AA112" s="8"/>
      <c r="AB112" s="9"/>
      <c r="AC112" s="8"/>
      <c r="AD112" s="8"/>
      <c r="AE112" s="8"/>
      <c r="AF112" s="9"/>
      <c r="AG112" s="10"/>
      <c r="AH112" s="9"/>
      <c r="AI112" s="10"/>
      <c r="AJ112" s="9"/>
      <c r="AK112" s="5"/>
    </row>
    <row r="113" spans="1:37" ht="27" customHeight="1">
      <c r="A113" s="5"/>
      <c r="B113" s="5"/>
      <c r="C113" s="5"/>
      <c r="D113" s="5"/>
      <c r="E113" s="13"/>
      <c r="F113" s="14"/>
      <c r="G113" s="1"/>
      <c r="H113" s="14"/>
      <c r="I113" s="5"/>
      <c r="J113" s="1"/>
      <c r="K113" s="5"/>
      <c r="L113" s="6"/>
      <c r="M113" s="5"/>
      <c r="N113" s="15"/>
      <c r="O113" s="8"/>
      <c r="P113" s="9"/>
      <c r="Q113" s="8"/>
      <c r="R113" s="9"/>
      <c r="S113" s="8"/>
      <c r="T113" s="9"/>
      <c r="U113" s="8"/>
      <c r="V113" s="9"/>
      <c r="W113" s="8"/>
      <c r="X113" s="9"/>
      <c r="Y113" s="8"/>
      <c r="Z113" s="9"/>
      <c r="AA113" s="8"/>
      <c r="AB113" s="9"/>
      <c r="AC113" s="8"/>
      <c r="AD113" s="8"/>
      <c r="AE113" s="8"/>
      <c r="AF113" s="9"/>
      <c r="AG113" s="10"/>
      <c r="AH113" s="9"/>
      <c r="AI113" s="10"/>
      <c r="AJ113" s="9"/>
      <c r="AK113" s="5"/>
    </row>
    <row r="114" spans="1:37" ht="27" customHeight="1">
      <c r="A114" s="5"/>
      <c r="B114" s="5"/>
      <c r="C114" s="5"/>
      <c r="D114" s="5"/>
      <c r="E114" s="13"/>
      <c r="F114" s="14"/>
      <c r="G114" s="1"/>
      <c r="H114" s="14"/>
      <c r="I114" s="5"/>
      <c r="J114" s="1"/>
      <c r="K114" s="5"/>
      <c r="L114" s="6"/>
      <c r="M114" s="5"/>
      <c r="N114" s="15"/>
      <c r="O114" s="8"/>
      <c r="P114" s="9"/>
      <c r="Q114" s="8"/>
      <c r="R114" s="9"/>
      <c r="S114" s="8"/>
      <c r="T114" s="9"/>
      <c r="U114" s="8"/>
      <c r="V114" s="9"/>
      <c r="W114" s="8"/>
      <c r="X114" s="9"/>
      <c r="Y114" s="8"/>
      <c r="Z114" s="9"/>
      <c r="AA114" s="8"/>
      <c r="AB114" s="9"/>
      <c r="AC114" s="8"/>
      <c r="AD114" s="8"/>
      <c r="AE114" s="8"/>
      <c r="AF114" s="9"/>
      <c r="AG114" s="10"/>
      <c r="AH114" s="9"/>
      <c r="AI114" s="10"/>
      <c r="AJ114" s="9"/>
      <c r="AK114" s="5"/>
    </row>
    <row r="115" spans="1:37" ht="27" customHeight="1">
      <c r="A115" s="5"/>
      <c r="B115" s="5"/>
      <c r="C115" s="5"/>
      <c r="D115" s="5"/>
      <c r="E115" s="13"/>
      <c r="F115" s="14"/>
      <c r="G115" s="1"/>
      <c r="H115" s="14"/>
      <c r="I115" s="5"/>
      <c r="J115" s="1"/>
      <c r="K115" s="5"/>
      <c r="L115" s="6"/>
      <c r="M115" s="5"/>
      <c r="N115" s="15"/>
      <c r="O115" s="8"/>
      <c r="P115" s="9"/>
      <c r="Q115" s="8"/>
      <c r="R115" s="9"/>
      <c r="S115" s="8"/>
      <c r="T115" s="9"/>
      <c r="U115" s="8"/>
      <c r="V115" s="9"/>
      <c r="W115" s="8"/>
      <c r="X115" s="9"/>
      <c r="Y115" s="8"/>
      <c r="Z115" s="9"/>
      <c r="AA115" s="8"/>
      <c r="AB115" s="9"/>
      <c r="AC115" s="8"/>
      <c r="AD115" s="8"/>
      <c r="AE115" s="8"/>
      <c r="AF115" s="9"/>
      <c r="AG115" s="10"/>
      <c r="AH115" s="9"/>
      <c r="AI115" s="10"/>
      <c r="AJ115" s="9"/>
      <c r="AK115" s="5"/>
    </row>
    <row r="116" spans="1:37" ht="27" customHeight="1">
      <c r="A116" s="5"/>
      <c r="B116" s="5"/>
      <c r="C116" s="5"/>
      <c r="D116" s="5"/>
      <c r="E116" s="13"/>
      <c r="F116" s="14"/>
      <c r="G116" s="1"/>
      <c r="H116" s="14"/>
      <c r="I116" s="5"/>
      <c r="J116" s="1"/>
      <c r="K116" s="5"/>
      <c r="L116" s="6"/>
      <c r="M116" s="5"/>
      <c r="N116" s="15"/>
      <c r="O116" s="8"/>
      <c r="P116" s="9"/>
      <c r="Q116" s="8"/>
      <c r="R116" s="9"/>
      <c r="S116" s="8"/>
      <c r="T116" s="9"/>
      <c r="U116" s="8"/>
      <c r="V116" s="9"/>
      <c r="W116" s="8"/>
      <c r="X116" s="9"/>
      <c r="Y116" s="8"/>
      <c r="Z116" s="9"/>
      <c r="AA116" s="8"/>
      <c r="AB116" s="9"/>
      <c r="AC116" s="8"/>
      <c r="AD116" s="8"/>
      <c r="AE116" s="8"/>
      <c r="AF116" s="9"/>
      <c r="AG116" s="10"/>
      <c r="AH116" s="9"/>
      <c r="AI116" s="10"/>
      <c r="AJ116" s="9"/>
      <c r="AK116" s="5"/>
    </row>
    <row r="117" spans="1:37" ht="27" customHeight="1">
      <c r="A117" s="5"/>
      <c r="B117" s="5"/>
      <c r="C117" s="5"/>
      <c r="D117" s="5"/>
      <c r="E117" s="13"/>
      <c r="F117" s="14"/>
      <c r="G117" s="1"/>
      <c r="H117" s="14"/>
      <c r="I117" s="5"/>
      <c r="J117" s="1"/>
      <c r="K117" s="5"/>
      <c r="L117" s="6"/>
      <c r="M117" s="5"/>
      <c r="N117" s="15"/>
      <c r="O117" s="8"/>
      <c r="P117" s="9"/>
      <c r="Q117" s="8"/>
      <c r="R117" s="9"/>
      <c r="S117" s="8"/>
      <c r="T117" s="9"/>
      <c r="U117" s="8"/>
      <c r="V117" s="9"/>
      <c r="W117" s="8"/>
      <c r="X117" s="9"/>
      <c r="Y117" s="8"/>
      <c r="Z117" s="9"/>
      <c r="AA117" s="8"/>
      <c r="AB117" s="9"/>
      <c r="AC117" s="8"/>
      <c r="AD117" s="8"/>
      <c r="AE117" s="8"/>
      <c r="AF117" s="9"/>
      <c r="AG117" s="10"/>
      <c r="AH117" s="9"/>
      <c r="AI117" s="10"/>
      <c r="AJ117" s="9"/>
      <c r="AK117" s="5"/>
    </row>
    <row r="118" spans="1:37" ht="27" customHeight="1">
      <c r="A118" s="5"/>
      <c r="B118" s="5"/>
      <c r="C118" s="5"/>
      <c r="D118" s="5"/>
      <c r="E118" s="13"/>
      <c r="F118" s="14"/>
      <c r="G118" s="1"/>
      <c r="H118" s="14"/>
      <c r="I118" s="5"/>
      <c r="J118" s="1"/>
      <c r="K118" s="5"/>
      <c r="L118" s="6"/>
      <c r="M118" s="5"/>
      <c r="N118" s="15"/>
      <c r="O118" s="8"/>
      <c r="P118" s="9"/>
      <c r="Q118" s="8"/>
      <c r="R118" s="9"/>
      <c r="S118" s="8"/>
      <c r="T118" s="9"/>
      <c r="U118" s="8"/>
      <c r="V118" s="9"/>
      <c r="W118" s="8"/>
      <c r="X118" s="9"/>
      <c r="Y118" s="8"/>
      <c r="Z118" s="9"/>
      <c r="AA118" s="8"/>
      <c r="AB118" s="9"/>
      <c r="AC118" s="8"/>
      <c r="AD118" s="8"/>
      <c r="AE118" s="8"/>
      <c r="AF118" s="9"/>
      <c r="AG118" s="10"/>
      <c r="AH118" s="9"/>
      <c r="AI118" s="10"/>
      <c r="AJ118" s="9"/>
      <c r="AK118" s="5"/>
    </row>
    <row r="119" spans="1:37" ht="27" customHeight="1">
      <c r="A119" s="5"/>
      <c r="B119" s="5"/>
      <c r="C119" s="5"/>
      <c r="D119" s="5"/>
      <c r="E119" s="13"/>
      <c r="F119" s="14"/>
      <c r="G119" s="1"/>
      <c r="H119" s="14"/>
      <c r="I119" s="5"/>
      <c r="J119" s="1"/>
      <c r="K119" s="5"/>
      <c r="L119" s="6"/>
      <c r="M119" s="5"/>
      <c r="N119" s="15"/>
      <c r="O119" s="8"/>
      <c r="P119" s="9"/>
      <c r="Q119" s="8"/>
      <c r="R119" s="9"/>
      <c r="S119" s="8"/>
      <c r="T119" s="9"/>
      <c r="U119" s="8"/>
      <c r="V119" s="9"/>
      <c r="W119" s="8"/>
      <c r="X119" s="9"/>
      <c r="Y119" s="8"/>
      <c r="Z119" s="9"/>
      <c r="AA119" s="8"/>
      <c r="AB119" s="9"/>
      <c r="AC119" s="8"/>
      <c r="AD119" s="8"/>
      <c r="AE119" s="8"/>
      <c r="AF119" s="9"/>
      <c r="AG119" s="10"/>
      <c r="AH119" s="9"/>
      <c r="AI119" s="10"/>
      <c r="AJ119" s="9"/>
      <c r="AK119" s="5"/>
    </row>
    <row r="120" spans="1:37" ht="27" customHeight="1">
      <c r="A120" s="5"/>
      <c r="B120" s="5"/>
      <c r="C120" s="5"/>
      <c r="D120" s="5"/>
      <c r="E120" s="13"/>
      <c r="F120" s="14"/>
      <c r="G120" s="1"/>
      <c r="H120" s="14"/>
      <c r="I120" s="5"/>
      <c r="J120" s="1"/>
      <c r="K120" s="5"/>
      <c r="L120" s="6"/>
      <c r="M120" s="5"/>
      <c r="N120" s="15"/>
      <c r="O120" s="8"/>
      <c r="P120" s="9"/>
      <c r="Q120" s="8"/>
      <c r="R120" s="9"/>
      <c r="S120" s="8"/>
      <c r="T120" s="9"/>
      <c r="U120" s="8"/>
      <c r="V120" s="9"/>
      <c r="W120" s="8"/>
      <c r="X120" s="9"/>
      <c r="Y120" s="8"/>
      <c r="Z120" s="9"/>
      <c r="AA120" s="8"/>
      <c r="AB120" s="9"/>
      <c r="AC120" s="8"/>
      <c r="AD120" s="8"/>
      <c r="AE120" s="8"/>
      <c r="AF120" s="9"/>
      <c r="AG120" s="10"/>
      <c r="AH120" s="9"/>
      <c r="AI120" s="10"/>
      <c r="AJ120" s="9"/>
      <c r="AK120" s="5"/>
    </row>
    <row r="121" spans="1:37" ht="27" customHeight="1">
      <c r="A121" s="5"/>
      <c r="B121" s="5"/>
      <c r="C121" s="5"/>
      <c r="D121" s="5"/>
      <c r="E121" s="13"/>
      <c r="F121" s="14"/>
      <c r="G121" s="1"/>
      <c r="H121" s="14"/>
      <c r="I121" s="5"/>
      <c r="J121" s="1"/>
      <c r="K121" s="5"/>
      <c r="L121" s="6"/>
      <c r="M121" s="5"/>
      <c r="N121" s="15"/>
      <c r="O121" s="8"/>
      <c r="P121" s="9"/>
      <c r="Q121" s="8"/>
      <c r="R121" s="9"/>
      <c r="S121" s="8"/>
      <c r="T121" s="9"/>
      <c r="U121" s="8"/>
      <c r="V121" s="9"/>
      <c r="W121" s="8"/>
      <c r="X121" s="9"/>
      <c r="Y121" s="8"/>
      <c r="Z121" s="9"/>
      <c r="AA121" s="8"/>
      <c r="AB121" s="9"/>
      <c r="AC121" s="8"/>
      <c r="AD121" s="8"/>
      <c r="AE121" s="8"/>
      <c r="AF121" s="9"/>
      <c r="AG121" s="10"/>
      <c r="AH121" s="9"/>
      <c r="AI121" s="10"/>
      <c r="AJ121" s="9"/>
      <c r="AK121" s="5"/>
    </row>
    <row r="122" spans="1:37" ht="27" customHeight="1">
      <c r="A122" s="5"/>
      <c r="B122" s="5"/>
      <c r="C122" s="5"/>
      <c r="D122" s="5"/>
      <c r="E122" s="13"/>
      <c r="F122" s="14"/>
      <c r="G122" s="1"/>
      <c r="H122" s="14"/>
      <c r="I122" s="5"/>
      <c r="J122" s="1"/>
      <c r="K122" s="5"/>
      <c r="L122" s="6"/>
      <c r="M122" s="5"/>
      <c r="N122" s="15"/>
      <c r="O122" s="8"/>
      <c r="P122" s="9"/>
      <c r="Q122" s="8"/>
      <c r="R122" s="9"/>
      <c r="S122" s="8"/>
      <c r="T122" s="9"/>
      <c r="U122" s="8"/>
      <c r="V122" s="9"/>
      <c r="W122" s="8"/>
      <c r="X122" s="9"/>
      <c r="Y122" s="8"/>
      <c r="Z122" s="9"/>
      <c r="AA122" s="8"/>
      <c r="AB122" s="9"/>
      <c r="AC122" s="8"/>
      <c r="AD122" s="8"/>
      <c r="AE122" s="8"/>
      <c r="AF122" s="9"/>
      <c r="AG122" s="10"/>
      <c r="AH122" s="9"/>
      <c r="AI122" s="10"/>
      <c r="AJ122" s="9"/>
      <c r="AK122" s="5"/>
    </row>
    <row r="123" spans="1:37" ht="27" customHeight="1">
      <c r="A123" s="5"/>
      <c r="B123" s="5"/>
      <c r="C123" s="5"/>
      <c r="D123" s="5"/>
      <c r="E123" s="13"/>
      <c r="F123" s="14"/>
      <c r="G123" s="1"/>
      <c r="H123" s="14"/>
      <c r="I123" s="5"/>
      <c r="J123" s="1"/>
      <c r="K123" s="5"/>
      <c r="L123" s="6"/>
      <c r="M123" s="5"/>
      <c r="N123" s="15"/>
      <c r="O123" s="8"/>
      <c r="P123" s="9"/>
      <c r="Q123" s="8"/>
      <c r="R123" s="9"/>
      <c r="S123" s="8"/>
      <c r="T123" s="9"/>
      <c r="U123" s="8"/>
      <c r="V123" s="9"/>
      <c r="W123" s="8"/>
      <c r="X123" s="9"/>
      <c r="Y123" s="8"/>
      <c r="Z123" s="9"/>
      <c r="AA123" s="8"/>
      <c r="AB123" s="9"/>
      <c r="AC123" s="8"/>
      <c r="AD123" s="8"/>
      <c r="AE123" s="8"/>
      <c r="AF123" s="9"/>
      <c r="AG123" s="10"/>
      <c r="AH123" s="9"/>
      <c r="AI123" s="10"/>
      <c r="AJ123" s="9"/>
      <c r="AK123" s="5"/>
    </row>
    <row r="124" spans="1:37" ht="27" customHeight="1">
      <c r="A124" s="5"/>
      <c r="B124" s="5"/>
      <c r="C124" s="5"/>
      <c r="D124" s="5"/>
      <c r="E124" s="13"/>
      <c r="F124" s="14"/>
      <c r="G124" s="1"/>
      <c r="H124" s="14"/>
      <c r="I124" s="5"/>
      <c r="J124" s="1"/>
      <c r="K124" s="5"/>
      <c r="L124" s="6"/>
      <c r="M124" s="5"/>
      <c r="N124" s="15"/>
      <c r="O124" s="8"/>
      <c r="P124" s="9"/>
      <c r="Q124" s="8"/>
      <c r="R124" s="9"/>
      <c r="S124" s="8"/>
      <c r="T124" s="9"/>
      <c r="U124" s="8"/>
      <c r="V124" s="9"/>
      <c r="W124" s="8"/>
      <c r="X124" s="9"/>
      <c r="Y124" s="8"/>
      <c r="Z124" s="9"/>
      <c r="AA124" s="8"/>
      <c r="AB124" s="9"/>
      <c r="AC124" s="8"/>
      <c r="AD124" s="8"/>
      <c r="AE124" s="8"/>
      <c r="AF124" s="9"/>
      <c r="AG124" s="10"/>
      <c r="AH124" s="9"/>
      <c r="AI124" s="10"/>
      <c r="AJ124" s="9"/>
      <c r="AK124" s="5"/>
    </row>
    <row r="125" spans="1:37" ht="27" customHeight="1">
      <c r="A125" s="5"/>
      <c r="B125" s="5"/>
      <c r="C125" s="5"/>
      <c r="D125" s="5"/>
      <c r="E125" s="13"/>
      <c r="F125" s="14"/>
      <c r="G125" s="1"/>
      <c r="H125" s="14"/>
      <c r="I125" s="5"/>
      <c r="J125" s="1"/>
      <c r="K125" s="5"/>
      <c r="L125" s="6"/>
      <c r="M125" s="5"/>
      <c r="N125" s="15"/>
      <c r="O125" s="8"/>
      <c r="P125" s="9"/>
      <c r="Q125" s="8"/>
      <c r="R125" s="9"/>
      <c r="S125" s="8"/>
      <c r="T125" s="9"/>
      <c r="U125" s="8"/>
      <c r="V125" s="9"/>
      <c r="W125" s="8"/>
      <c r="X125" s="9"/>
      <c r="Y125" s="8"/>
      <c r="Z125" s="9"/>
      <c r="AA125" s="8"/>
      <c r="AB125" s="9"/>
      <c r="AC125" s="8"/>
      <c r="AD125" s="8"/>
      <c r="AE125" s="8"/>
      <c r="AF125" s="9"/>
      <c r="AG125" s="10"/>
      <c r="AH125" s="9"/>
      <c r="AI125" s="10"/>
      <c r="AJ125" s="9"/>
      <c r="AK125" s="5"/>
    </row>
    <row r="126" spans="1:37" ht="27" customHeight="1">
      <c r="A126" s="5"/>
      <c r="B126" s="5"/>
      <c r="C126" s="5"/>
      <c r="D126" s="5"/>
      <c r="E126" s="13"/>
      <c r="F126" s="14"/>
      <c r="G126" s="1"/>
      <c r="H126" s="14"/>
      <c r="I126" s="5"/>
      <c r="J126" s="1"/>
      <c r="K126" s="5"/>
      <c r="L126" s="6"/>
      <c r="M126" s="5"/>
      <c r="N126" s="15"/>
      <c r="O126" s="8"/>
      <c r="P126" s="9"/>
      <c r="Q126" s="8"/>
      <c r="R126" s="9"/>
      <c r="S126" s="8"/>
      <c r="T126" s="9"/>
      <c r="U126" s="8"/>
      <c r="V126" s="9"/>
      <c r="W126" s="8"/>
      <c r="X126" s="9"/>
      <c r="Y126" s="8"/>
      <c r="Z126" s="9"/>
      <c r="AA126" s="8"/>
      <c r="AB126" s="9"/>
      <c r="AC126" s="8"/>
      <c r="AD126" s="8"/>
      <c r="AE126" s="8"/>
      <c r="AF126" s="9"/>
      <c r="AG126" s="10"/>
      <c r="AH126" s="9"/>
      <c r="AI126" s="10"/>
      <c r="AJ126" s="9"/>
      <c r="AK126" s="5"/>
    </row>
    <row r="127" spans="1:37" ht="27" customHeight="1">
      <c r="A127" s="5"/>
      <c r="B127" s="5"/>
      <c r="C127" s="5"/>
      <c r="D127" s="5"/>
      <c r="E127" s="13"/>
      <c r="F127" s="14"/>
      <c r="G127" s="1"/>
      <c r="H127" s="14"/>
      <c r="I127" s="5"/>
      <c r="J127" s="1"/>
      <c r="K127" s="5"/>
      <c r="L127" s="6"/>
      <c r="M127" s="5"/>
      <c r="N127" s="15"/>
      <c r="O127" s="8"/>
      <c r="P127" s="9"/>
      <c r="Q127" s="8"/>
      <c r="R127" s="9"/>
      <c r="S127" s="8"/>
      <c r="T127" s="9"/>
      <c r="U127" s="8"/>
      <c r="V127" s="9"/>
      <c r="W127" s="8"/>
      <c r="X127" s="9"/>
      <c r="Y127" s="8"/>
      <c r="Z127" s="9"/>
      <c r="AA127" s="8"/>
      <c r="AB127" s="9"/>
      <c r="AC127" s="8"/>
      <c r="AD127" s="8"/>
      <c r="AE127" s="8"/>
      <c r="AF127" s="9"/>
      <c r="AG127" s="10"/>
      <c r="AH127" s="9"/>
      <c r="AI127" s="10"/>
      <c r="AJ127" s="9"/>
      <c r="AK127" s="5"/>
    </row>
    <row r="128" spans="1:37" ht="27" customHeight="1">
      <c r="A128" s="5"/>
      <c r="B128" s="5"/>
      <c r="C128" s="5"/>
      <c r="D128" s="5"/>
      <c r="E128" s="13"/>
      <c r="F128" s="14"/>
      <c r="G128" s="1"/>
      <c r="H128" s="14"/>
      <c r="I128" s="5"/>
      <c r="J128" s="1"/>
      <c r="K128" s="5"/>
      <c r="L128" s="6"/>
      <c r="M128" s="5"/>
      <c r="N128" s="15"/>
      <c r="O128" s="8"/>
      <c r="P128" s="9"/>
      <c r="Q128" s="8"/>
      <c r="R128" s="9"/>
      <c r="S128" s="8"/>
      <c r="T128" s="9"/>
      <c r="U128" s="8"/>
      <c r="V128" s="9"/>
      <c r="W128" s="8"/>
      <c r="X128" s="9"/>
      <c r="Y128" s="8"/>
      <c r="Z128" s="9"/>
      <c r="AA128" s="8"/>
      <c r="AB128" s="9"/>
      <c r="AC128" s="8"/>
      <c r="AD128" s="8"/>
      <c r="AE128" s="8"/>
      <c r="AF128" s="9"/>
      <c r="AG128" s="10"/>
      <c r="AH128" s="9"/>
      <c r="AI128" s="10"/>
      <c r="AJ128" s="9"/>
      <c r="AK128" s="5"/>
    </row>
    <row r="129" spans="1:37" ht="27" customHeight="1">
      <c r="A129" s="5"/>
      <c r="B129" s="5"/>
      <c r="C129" s="5"/>
      <c r="D129" s="5"/>
      <c r="E129" s="13"/>
      <c r="F129" s="14"/>
      <c r="G129" s="1"/>
      <c r="H129" s="14"/>
      <c r="I129" s="5"/>
      <c r="J129" s="1"/>
      <c r="K129" s="5"/>
      <c r="L129" s="6"/>
      <c r="M129" s="5"/>
      <c r="N129" s="15"/>
      <c r="O129" s="8"/>
      <c r="P129" s="9"/>
      <c r="Q129" s="8"/>
      <c r="R129" s="9"/>
      <c r="S129" s="8"/>
      <c r="T129" s="9"/>
      <c r="U129" s="8"/>
      <c r="V129" s="9"/>
      <c r="W129" s="8"/>
      <c r="X129" s="9"/>
      <c r="Y129" s="8"/>
      <c r="Z129" s="9"/>
      <c r="AA129" s="8"/>
      <c r="AB129" s="9"/>
      <c r="AC129" s="8"/>
      <c r="AD129" s="8"/>
      <c r="AE129" s="8"/>
      <c r="AF129" s="9"/>
      <c r="AG129" s="10"/>
      <c r="AH129" s="9"/>
      <c r="AI129" s="10"/>
      <c r="AJ129" s="9"/>
      <c r="AK129" s="5"/>
    </row>
    <row r="130" spans="1:37" ht="27" customHeight="1">
      <c r="A130" s="5"/>
      <c r="B130" s="5"/>
      <c r="C130" s="5"/>
      <c r="D130" s="5"/>
      <c r="E130" s="13"/>
      <c r="F130" s="14"/>
      <c r="G130" s="1"/>
      <c r="H130" s="14"/>
      <c r="I130" s="5"/>
      <c r="J130" s="1"/>
      <c r="K130" s="5"/>
      <c r="L130" s="6"/>
      <c r="M130" s="5"/>
      <c r="N130" s="15"/>
      <c r="O130" s="8"/>
      <c r="P130" s="9"/>
      <c r="Q130" s="8"/>
      <c r="R130" s="9"/>
      <c r="S130" s="8"/>
      <c r="T130" s="9"/>
      <c r="U130" s="8"/>
      <c r="V130" s="9"/>
      <c r="W130" s="8"/>
      <c r="X130" s="9"/>
      <c r="Y130" s="8"/>
      <c r="Z130" s="9"/>
      <c r="AA130" s="8"/>
      <c r="AB130" s="9"/>
      <c r="AC130" s="8"/>
      <c r="AD130" s="8"/>
      <c r="AE130" s="8"/>
      <c r="AF130" s="9"/>
      <c r="AG130" s="10"/>
      <c r="AH130" s="9"/>
      <c r="AI130" s="10"/>
      <c r="AJ130" s="9"/>
      <c r="AK130" s="5"/>
    </row>
    <row r="131" spans="1:37" ht="27" customHeight="1">
      <c r="A131" s="5"/>
      <c r="B131" s="5"/>
      <c r="C131" s="5"/>
      <c r="D131" s="5"/>
      <c r="E131" s="13"/>
      <c r="F131" s="14"/>
      <c r="G131" s="1"/>
      <c r="H131" s="14"/>
      <c r="I131" s="5"/>
      <c r="J131" s="1"/>
      <c r="K131" s="5"/>
      <c r="L131" s="6"/>
      <c r="M131" s="5"/>
      <c r="N131" s="15"/>
      <c r="O131" s="8"/>
      <c r="P131" s="9"/>
      <c r="Q131" s="8"/>
      <c r="R131" s="9"/>
      <c r="S131" s="8"/>
      <c r="T131" s="9"/>
      <c r="U131" s="8"/>
      <c r="V131" s="9"/>
      <c r="W131" s="8"/>
      <c r="X131" s="9"/>
      <c r="Y131" s="8"/>
      <c r="Z131" s="9"/>
      <c r="AA131" s="8"/>
      <c r="AB131" s="9"/>
      <c r="AC131" s="8"/>
      <c r="AD131" s="8"/>
      <c r="AE131" s="8"/>
      <c r="AF131" s="9"/>
      <c r="AG131" s="10"/>
      <c r="AH131" s="9"/>
      <c r="AI131" s="10"/>
      <c r="AJ131" s="9"/>
      <c r="AK131" s="5"/>
    </row>
    <row r="132" spans="1:37" ht="27" customHeight="1">
      <c r="A132" s="5"/>
      <c r="B132" s="5"/>
      <c r="C132" s="5"/>
      <c r="D132" s="5"/>
      <c r="E132" s="13"/>
      <c r="F132" s="14"/>
      <c r="G132" s="1"/>
      <c r="H132" s="14"/>
      <c r="I132" s="5"/>
      <c r="J132" s="1"/>
      <c r="K132" s="5"/>
      <c r="L132" s="6"/>
      <c r="M132" s="5"/>
      <c r="N132" s="15"/>
      <c r="O132" s="8"/>
      <c r="P132" s="9"/>
      <c r="Q132" s="8"/>
      <c r="R132" s="9"/>
      <c r="S132" s="8"/>
      <c r="T132" s="9"/>
      <c r="U132" s="8"/>
      <c r="V132" s="9"/>
      <c r="W132" s="8"/>
      <c r="X132" s="9"/>
      <c r="Y132" s="8"/>
      <c r="Z132" s="9"/>
      <c r="AA132" s="8"/>
      <c r="AB132" s="9"/>
      <c r="AC132" s="8"/>
      <c r="AD132" s="8"/>
      <c r="AE132" s="8"/>
      <c r="AF132" s="9"/>
      <c r="AG132" s="10"/>
      <c r="AH132" s="9"/>
      <c r="AI132" s="10"/>
      <c r="AJ132" s="9"/>
      <c r="AK132" s="5"/>
    </row>
    <row r="133" spans="1:37" ht="27" customHeight="1">
      <c r="A133" s="5"/>
      <c r="B133" s="5"/>
      <c r="C133" s="5"/>
      <c r="D133" s="5"/>
      <c r="E133" s="13"/>
      <c r="F133" s="14"/>
      <c r="G133" s="1"/>
      <c r="H133" s="14"/>
      <c r="I133" s="5"/>
      <c r="J133" s="1"/>
      <c r="K133" s="5"/>
      <c r="L133" s="6"/>
      <c r="M133" s="5"/>
      <c r="N133" s="15"/>
      <c r="O133" s="8"/>
      <c r="P133" s="9"/>
      <c r="Q133" s="8"/>
      <c r="R133" s="9"/>
      <c r="S133" s="8"/>
      <c r="T133" s="9"/>
      <c r="U133" s="8"/>
      <c r="V133" s="9"/>
      <c r="W133" s="8"/>
      <c r="X133" s="9"/>
      <c r="Y133" s="8"/>
      <c r="Z133" s="9"/>
      <c r="AA133" s="8"/>
      <c r="AB133" s="9"/>
      <c r="AC133" s="8"/>
      <c r="AD133" s="8"/>
      <c r="AE133" s="8"/>
      <c r="AF133" s="9"/>
      <c r="AG133" s="10"/>
      <c r="AH133" s="9"/>
      <c r="AI133" s="10"/>
      <c r="AJ133" s="9"/>
      <c r="AK133" s="5"/>
    </row>
    <row r="134" spans="1:37" ht="27" customHeight="1">
      <c r="A134" s="5"/>
      <c r="B134" s="5"/>
      <c r="C134" s="5"/>
      <c r="D134" s="5"/>
      <c r="E134" s="13"/>
      <c r="F134" s="14"/>
      <c r="G134" s="1"/>
      <c r="H134" s="14"/>
      <c r="I134" s="5"/>
      <c r="J134" s="1"/>
      <c r="K134" s="5"/>
      <c r="L134" s="6"/>
      <c r="M134" s="5"/>
      <c r="N134" s="15"/>
      <c r="O134" s="8"/>
      <c r="P134" s="9"/>
      <c r="Q134" s="8"/>
      <c r="R134" s="9"/>
      <c r="S134" s="8"/>
      <c r="T134" s="9"/>
      <c r="U134" s="8"/>
      <c r="V134" s="9"/>
      <c r="W134" s="8"/>
      <c r="X134" s="9"/>
      <c r="Y134" s="8"/>
      <c r="Z134" s="9"/>
      <c r="AA134" s="8"/>
      <c r="AB134" s="9"/>
      <c r="AC134" s="8"/>
      <c r="AD134" s="8"/>
      <c r="AE134" s="8"/>
      <c r="AF134" s="9"/>
      <c r="AG134" s="10"/>
      <c r="AH134" s="9"/>
      <c r="AI134" s="10"/>
      <c r="AJ134" s="9"/>
      <c r="AK134" s="5"/>
    </row>
    <row r="135" spans="1:37" ht="27" customHeight="1">
      <c r="A135" s="5"/>
      <c r="B135" s="5"/>
      <c r="C135" s="5"/>
      <c r="D135" s="5"/>
      <c r="E135" s="13"/>
      <c r="F135" s="14"/>
      <c r="G135" s="1"/>
      <c r="H135" s="14"/>
      <c r="I135" s="5"/>
      <c r="J135" s="1"/>
      <c r="K135" s="5"/>
      <c r="L135" s="6"/>
      <c r="M135" s="5"/>
      <c r="N135" s="15"/>
      <c r="O135" s="8"/>
      <c r="P135" s="9"/>
      <c r="Q135" s="8"/>
      <c r="R135" s="9"/>
      <c r="S135" s="8"/>
      <c r="T135" s="9"/>
      <c r="U135" s="8"/>
      <c r="V135" s="9"/>
      <c r="W135" s="8"/>
      <c r="X135" s="9"/>
      <c r="Y135" s="8"/>
      <c r="Z135" s="9"/>
      <c r="AA135" s="8"/>
      <c r="AB135" s="9"/>
      <c r="AC135" s="8"/>
      <c r="AD135" s="8"/>
      <c r="AE135" s="8"/>
      <c r="AF135" s="9"/>
      <c r="AG135" s="10"/>
      <c r="AH135" s="9"/>
      <c r="AI135" s="10"/>
      <c r="AJ135" s="9"/>
      <c r="AK135" s="5"/>
    </row>
    <row r="136" spans="1:37" ht="27" customHeight="1">
      <c r="A136" s="5"/>
      <c r="B136" s="5"/>
      <c r="C136" s="5"/>
      <c r="D136" s="5"/>
      <c r="E136" s="13"/>
      <c r="F136" s="14"/>
      <c r="G136" s="1"/>
      <c r="H136" s="14"/>
      <c r="I136" s="5"/>
      <c r="J136" s="1"/>
      <c r="K136" s="5"/>
      <c r="L136" s="6"/>
      <c r="M136" s="5"/>
      <c r="N136" s="15"/>
      <c r="O136" s="8"/>
      <c r="P136" s="9"/>
      <c r="Q136" s="8"/>
      <c r="R136" s="9"/>
      <c r="S136" s="8"/>
      <c r="T136" s="9"/>
      <c r="U136" s="8"/>
      <c r="V136" s="9"/>
      <c r="W136" s="8"/>
      <c r="X136" s="9"/>
      <c r="Y136" s="8"/>
      <c r="Z136" s="9"/>
      <c r="AA136" s="8"/>
      <c r="AB136" s="9"/>
      <c r="AC136" s="8"/>
      <c r="AD136" s="8"/>
      <c r="AE136" s="8"/>
      <c r="AF136" s="9"/>
      <c r="AG136" s="10"/>
      <c r="AH136" s="9"/>
      <c r="AI136" s="10"/>
      <c r="AJ136" s="9"/>
      <c r="AK136" s="5"/>
    </row>
    <row r="137" spans="1:37" ht="27" customHeight="1">
      <c r="A137" s="5"/>
      <c r="B137" s="5"/>
      <c r="C137" s="5"/>
      <c r="D137" s="5"/>
      <c r="E137" s="13"/>
      <c r="F137" s="14"/>
      <c r="G137" s="1"/>
      <c r="H137" s="14"/>
      <c r="I137" s="5"/>
      <c r="J137" s="1"/>
      <c r="K137" s="5"/>
      <c r="L137" s="6"/>
      <c r="M137" s="5"/>
      <c r="N137" s="15"/>
      <c r="O137" s="8"/>
      <c r="P137" s="9"/>
      <c r="Q137" s="8"/>
      <c r="R137" s="9"/>
      <c r="S137" s="8"/>
      <c r="T137" s="9"/>
      <c r="U137" s="8"/>
      <c r="V137" s="9"/>
      <c r="W137" s="8"/>
      <c r="X137" s="9"/>
      <c r="Y137" s="8"/>
      <c r="Z137" s="9"/>
      <c r="AA137" s="8"/>
      <c r="AB137" s="9"/>
      <c r="AC137" s="8"/>
      <c r="AD137" s="8"/>
      <c r="AE137" s="8"/>
      <c r="AF137" s="9"/>
      <c r="AG137" s="10"/>
      <c r="AH137" s="9"/>
      <c r="AI137" s="10"/>
      <c r="AJ137" s="9"/>
      <c r="AK137" s="5"/>
    </row>
    <row r="138" spans="1:37" ht="27" customHeight="1">
      <c r="A138" s="5"/>
      <c r="B138" s="5"/>
      <c r="C138" s="5"/>
      <c r="D138" s="5"/>
      <c r="E138" s="13"/>
      <c r="F138" s="14"/>
      <c r="G138" s="1"/>
      <c r="H138" s="14"/>
      <c r="I138" s="5"/>
      <c r="J138" s="1"/>
      <c r="K138" s="5"/>
      <c r="L138" s="6"/>
      <c r="M138" s="5"/>
      <c r="N138" s="15"/>
      <c r="O138" s="8"/>
      <c r="P138" s="9"/>
      <c r="Q138" s="8"/>
      <c r="R138" s="9"/>
      <c r="S138" s="8"/>
      <c r="T138" s="9"/>
      <c r="U138" s="8"/>
      <c r="V138" s="9"/>
      <c r="W138" s="8"/>
      <c r="X138" s="9"/>
      <c r="Y138" s="8"/>
      <c r="Z138" s="9"/>
      <c r="AA138" s="8"/>
      <c r="AB138" s="9"/>
      <c r="AC138" s="8"/>
      <c r="AD138" s="8"/>
      <c r="AE138" s="8"/>
      <c r="AF138" s="9"/>
      <c r="AG138" s="10"/>
      <c r="AH138" s="9"/>
      <c r="AI138" s="10"/>
      <c r="AJ138" s="9"/>
      <c r="AK138" s="5"/>
    </row>
    <row r="139" spans="1:37" ht="27" customHeight="1">
      <c r="A139" s="5"/>
      <c r="B139" s="5"/>
      <c r="C139" s="5"/>
      <c r="D139" s="5"/>
      <c r="E139" s="13"/>
      <c r="F139" s="14"/>
      <c r="G139" s="1"/>
      <c r="H139" s="14"/>
      <c r="I139" s="5"/>
      <c r="J139" s="1"/>
      <c r="K139" s="5"/>
      <c r="L139" s="6"/>
      <c r="M139" s="5"/>
      <c r="N139" s="15"/>
      <c r="O139" s="8"/>
      <c r="P139" s="9"/>
      <c r="Q139" s="8"/>
      <c r="R139" s="9"/>
      <c r="S139" s="8"/>
      <c r="T139" s="9"/>
      <c r="U139" s="8"/>
      <c r="V139" s="9"/>
      <c r="W139" s="8"/>
      <c r="X139" s="9"/>
      <c r="Y139" s="8"/>
      <c r="Z139" s="9"/>
      <c r="AA139" s="8"/>
      <c r="AB139" s="9"/>
      <c r="AC139" s="8"/>
      <c r="AD139" s="8"/>
      <c r="AE139" s="8"/>
      <c r="AF139" s="9"/>
      <c r="AG139" s="10"/>
      <c r="AH139" s="9"/>
      <c r="AI139" s="10"/>
      <c r="AJ139" s="9"/>
      <c r="AK139" s="5"/>
    </row>
    <row r="140" spans="1:37" ht="27" customHeight="1">
      <c r="A140" s="5"/>
      <c r="B140" s="5"/>
      <c r="C140" s="5"/>
      <c r="D140" s="5"/>
      <c r="E140" s="13"/>
      <c r="F140" s="14"/>
      <c r="G140" s="1"/>
      <c r="H140" s="14"/>
      <c r="I140" s="5"/>
      <c r="J140" s="1"/>
      <c r="K140" s="5"/>
      <c r="L140" s="6"/>
      <c r="M140" s="5"/>
      <c r="N140" s="15"/>
      <c r="O140" s="8"/>
      <c r="P140" s="9"/>
      <c r="Q140" s="8"/>
      <c r="R140" s="9"/>
      <c r="S140" s="8"/>
      <c r="T140" s="9"/>
      <c r="U140" s="8"/>
      <c r="V140" s="9"/>
      <c r="W140" s="8"/>
      <c r="X140" s="9"/>
      <c r="Y140" s="8"/>
      <c r="Z140" s="9"/>
      <c r="AA140" s="8"/>
      <c r="AB140" s="9"/>
      <c r="AC140" s="8"/>
      <c r="AD140" s="8"/>
      <c r="AE140" s="8"/>
      <c r="AF140" s="9"/>
      <c r="AG140" s="10"/>
      <c r="AH140" s="9"/>
      <c r="AI140" s="10"/>
      <c r="AJ140" s="9"/>
      <c r="AK140" s="5"/>
    </row>
    <row r="141" spans="1:37" ht="27" customHeight="1">
      <c r="A141" s="5"/>
      <c r="B141" s="5"/>
      <c r="C141" s="5"/>
      <c r="D141" s="5"/>
      <c r="E141" s="13"/>
      <c r="F141" s="14"/>
      <c r="G141" s="1"/>
      <c r="H141" s="14"/>
      <c r="I141" s="5"/>
      <c r="J141" s="1"/>
      <c r="K141" s="5"/>
      <c r="L141" s="6"/>
      <c r="M141" s="5"/>
      <c r="N141" s="15"/>
      <c r="O141" s="8"/>
      <c r="P141" s="9"/>
      <c r="Q141" s="8"/>
      <c r="R141" s="9"/>
      <c r="S141" s="8"/>
      <c r="T141" s="9"/>
      <c r="U141" s="8"/>
      <c r="V141" s="9"/>
      <c r="W141" s="8"/>
      <c r="X141" s="9"/>
      <c r="Y141" s="8"/>
      <c r="Z141" s="9"/>
      <c r="AA141" s="8"/>
      <c r="AB141" s="9"/>
      <c r="AC141" s="8"/>
      <c r="AD141" s="8"/>
      <c r="AE141" s="8"/>
      <c r="AF141" s="9"/>
      <c r="AG141" s="10"/>
      <c r="AH141" s="9"/>
      <c r="AI141" s="10"/>
      <c r="AJ141" s="9"/>
      <c r="AK141" s="5"/>
    </row>
    <row r="142" spans="1:37" ht="27" customHeight="1">
      <c r="A142" s="5"/>
      <c r="B142" s="5"/>
      <c r="C142" s="5"/>
      <c r="D142" s="5"/>
      <c r="E142" s="13"/>
      <c r="F142" s="14"/>
      <c r="G142" s="1"/>
      <c r="H142" s="14"/>
      <c r="I142" s="5"/>
      <c r="J142" s="1"/>
      <c r="K142" s="5"/>
      <c r="L142" s="6"/>
      <c r="M142" s="5"/>
      <c r="N142" s="15"/>
      <c r="O142" s="8"/>
      <c r="P142" s="9"/>
      <c r="Q142" s="8"/>
      <c r="R142" s="9"/>
      <c r="S142" s="8"/>
      <c r="T142" s="9"/>
      <c r="U142" s="8"/>
      <c r="V142" s="9"/>
      <c r="W142" s="8"/>
      <c r="X142" s="9"/>
      <c r="Y142" s="8"/>
      <c r="Z142" s="9"/>
      <c r="AA142" s="8"/>
      <c r="AB142" s="9"/>
      <c r="AC142" s="8"/>
      <c r="AD142" s="8"/>
      <c r="AE142" s="8"/>
      <c r="AF142" s="9"/>
      <c r="AG142" s="10"/>
      <c r="AH142" s="9"/>
      <c r="AI142" s="10"/>
      <c r="AJ142" s="9"/>
      <c r="AK142" s="5"/>
    </row>
    <row r="143" spans="1:37" ht="27" customHeight="1">
      <c r="A143" s="5"/>
      <c r="B143" s="5"/>
      <c r="C143" s="5"/>
      <c r="D143" s="5"/>
      <c r="E143" s="13"/>
      <c r="F143" s="14"/>
      <c r="G143" s="1"/>
      <c r="H143" s="14"/>
      <c r="I143" s="5"/>
      <c r="J143" s="1"/>
      <c r="K143" s="5"/>
      <c r="L143" s="6"/>
      <c r="M143" s="5"/>
      <c r="N143" s="15"/>
      <c r="O143" s="8"/>
      <c r="P143" s="9"/>
      <c r="Q143" s="8"/>
      <c r="R143" s="9"/>
      <c r="S143" s="8"/>
      <c r="T143" s="9"/>
      <c r="U143" s="8"/>
      <c r="V143" s="9"/>
      <c r="W143" s="8"/>
      <c r="X143" s="9"/>
      <c r="Y143" s="8"/>
      <c r="Z143" s="9"/>
      <c r="AA143" s="8"/>
      <c r="AB143" s="9"/>
      <c r="AC143" s="8"/>
      <c r="AD143" s="8"/>
      <c r="AE143" s="8"/>
      <c r="AF143" s="9"/>
      <c r="AG143" s="10"/>
      <c r="AH143" s="9"/>
      <c r="AI143" s="10"/>
      <c r="AJ143" s="9"/>
      <c r="AK143" s="5"/>
    </row>
    <row r="144" spans="1:37" ht="27" customHeight="1">
      <c r="A144" s="5"/>
      <c r="B144" s="5"/>
      <c r="C144" s="5"/>
      <c r="D144" s="5"/>
      <c r="E144" s="13"/>
      <c r="F144" s="14"/>
      <c r="G144" s="1"/>
      <c r="H144" s="14"/>
      <c r="I144" s="5"/>
      <c r="J144" s="1"/>
      <c r="K144" s="5"/>
      <c r="L144" s="6"/>
      <c r="M144" s="5"/>
      <c r="N144" s="15"/>
      <c r="O144" s="8"/>
      <c r="P144" s="9"/>
      <c r="Q144" s="8"/>
      <c r="R144" s="9"/>
      <c r="S144" s="8"/>
      <c r="T144" s="9"/>
      <c r="U144" s="8"/>
      <c r="V144" s="9"/>
      <c r="W144" s="8"/>
      <c r="X144" s="9"/>
      <c r="Y144" s="8"/>
      <c r="Z144" s="9"/>
      <c r="AA144" s="8"/>
      <c r="AB144" s="9"/>
      <c r="AC144" s="8"/>
      <c r="AD144" s="8"/>
      <c r="AE144" s="8"/>
      <c r="AF144" s="9"/>
      <c r="AG144" s="10"/>
      <c r="AH144" s="9"/>
      <c r="AI144" s="10"/>
      <c r="AJ144" s="9"/>
      <c r="AK144" s="5"/>
    </row>
    <row r="145" spans="1:37" ht="27" customHeight="1">
      <c r="A145" s="5"/>
      <c r="B145" s="5"/>
      <c r="C145" s="5"/>
      <c r="D145" s="5"/>
      <c r="E145" s="13"/>
      <c r="F145" s="14"/>
      <c r="G145" s="1"/>
      <c r="H145" s="14"/>
      <c r="I145" s="5"/>
      <c r="J145" s="1"/>
      <c r="K145" s="5"/>
      <c r="L145" s="6"/>
      <c r="M145" s="5"/>
      <c r="N145" s="15"/>
      <c r="O145" s="8"/>
      <c r="P145" s="9"/>
      <c r="Q145" s="8"/>
      <c r="R145" s="9"/>
      <c r="S145" s="8"/>
      <c r="T145" s="9"/>
      <c r="U145" s="8"/>
      <c r="V145" s="9"/>
      <c r="W145" s="8"/>
      <c r="X145" s="9"/>
      <c r="Y145" s="8"/>
      <c r="Z145" s="9"/>
      <c r="AA145" s="8"/>
      <c r="AB145" s="9"/>
      <c r="AC145" s="8"/>
      <c r="AD145" s="8"/>
      <c r="AE145" s="8"/>
      <c r="AF145" s="9"/>
      <c r="AG145" s="10"/>
      <c r="AH145" s="9"/>
      <c r="AI145" s="10"/>
      <c r="AJ145" s="9"/>
      <c r="AK145" s="5"/>
    </row>
    <row r="146" spans="1:37" ht="27" customHeight="1">
      <c r="A146" s="5"/>
      <c r="B146" s="5"/>
      <c r="C146" s="5"/>
      <c r="D146" s="5"/>
      <c r="E146" s="13"/>
      <c r="F146" s="14"/>
      <c r="G146" s="1"/>
      <c r="H146" s="14"/>
      <c r="I146" s="5"/>
      <c r="J146" s="1"/>
      <c r="K146" s="5"/>
      <c r="L146" s="6"/>
      <c r="M146" s="5"/>
      <c r="N146" s="15"/>
      <c r="O146" s="8"/>
      <c r="P146" s="9"/>
      <c r="Q146" s="8"/>
      <c r="R146" s="9"/>
      <c r="S146" s="8"/>
      <c r="T146" s="9"/>
      <c r="U146" s="8"/>
      <c r="V146" s="9"/>
      <c r="W146" s="8"/>
      <c r="X146" s="9"/>
      <c r="Y146" s="8"/>
      <c r="Z146" s="9"/>
      <c r="AA146" s="8"/>
      <c r="AB146" s="9"/>
      <c r="AC146" s="8"/>
      <c r="AD146" s="8"/>
      <c r="AE146" s="8"/>
      <c r="AF146" s="9"/>
      <c r="AG146" s="10"/>
      <c r="AH146" s="9"/>
      <c r="AI146" s="10"/>
      <c r="AJ146" s="9"/>
      <c r="AK146" s="5"/>
    </row>
    <row r="147" spans="1:37" ht="27" customHeight="1">
      <c r="A147" s="5"/>
      <c r="B147" s="5"/>
      <c r="C147" s="5"/>
      <c r="D147" s="5"/>
      <c r="E147" s="13"/>
      <c r="F147" s="14"/>
      <c r="G147" s="1"/>
      <c r="H147" s="14"/>
      <c r="I147" s="5"/>
      <c r="J147" s="1"/>
      <c r="K147" s="5"/>
      <c r="L147" s="6"/>
      <c r="M147" s="5"/>
      <c r="N147" s="15"/>
      <c r="O147" s="8"/>
      <c r="P147" s="9"/>
      <c r="Q147" s="8"/>
      <c r="R147" s="9"/>
      <c r="S147" s="8"/>
      <c r="T147" s="9"/>
      <c r="U147" s="8"/>
      <c r="V147" s="9"/>
      <c r="W147" s="8"/>
      <c r="X147" s="9"/>
      <c r="Y147" s="8"/>
      <c r="Z147" s="9"/>
      <c r="AA147" s="8"/>
      <c r="AB147" s="9"/>
      <c r="AC147" s="8"/>
      <c r="AD147" s="8"/>
      <c r="AE147" s="8"/>
      <c r="AF147" s="9"/>
      <c r="AG147" s="10"/>
      <c r="AH147" s="9"/>
      <c r="AI147" s="10"/>
      <c r="AJ147" s="9"/>
      <c r="AK147" s="5"/>
    </row>
    <row r="148" spans="1:37" ht="27" customHeight="1">
      <c r="A148" s="5"/>
      <c r="B148" s="5"/>
      <c r="C148" s="5"/>
      <c r="D148" s="5"/>
      <c r="E148" s="13"/>
      <c r="F148" s="14"/>
      <c r="G148" s="1"/>
      <c r="H148" s="14"/>
      <c r="I148" s="5"/>
      <c r="J148" s="1"/>
      <c r="K148" s="5"/>
      <c r="L148" s="6"/>
      <c r="M148" s="5"/>
      <c r="N148" s="15"/>
      <c r="O148" s="8"/>
      <c r="P148" s="9"/>
      <c r="Q148" s="8"/>
      <c r="R148" s="9"/>
      <c r="S148" s="8"/>
      <c r="T148" s="9"/>
      <c r="U148" s="8"/>
      <c r="V148" s="9"/>
      <c r="W148" s="8"/>
      <c r="X148" s="9"/>
      <c r="Y148" s="8"/>
      <c r="Z148" s="9"/>
      <c r="AA148" s="8"/>
      <c r="AB148" s="9"/>
      <c r="AC148" s="8"/>
      <c r="AD148" s="8"/>
      <c r="AE148" s="8"/>
      <c r="AF148" s="9"/>
      <c r="AG148" s="10"/>
      <c r="AH148" s="9"/>
      <c r="AI148" s="10"/>
      <c r="AJ148" s="9"/>
      <c r="AK148" s="5"/>
    </row>
    <row r="149" spans="1:37" ht="27" customHeight="1">
      <c r="A149" s="5"/>
      <c r="B149" s="5"/>
      <c r="C149" s="5"/>
      <c r="D149" s="5"/>
      <c r="E149" s="13"/>
      <c r="F149" s="14"/>
      <c r="G149" s="1"/>
      <c r="H149" s="14"/>
      <c r="I149" s="5"/>
      <c r="J149" s="1"/>
      <c r="K149" s="5"/>
      <c r="L149" s="6"/>
      <c r="M149" s="5"/>
      <c r="N149" s="15"/>
      <c r="O149" s="8"/>
      <c r="P149" s="9"/>
      <c r="Q149" s="8"/>
      <c r="R149" s="9"/>
      <c r="S149" s="8"/>
      <c r="T149" s="9"/>
      <c r="U149" s="8"/>
      <c r="V149" s="9"/>
      <c r="W149" s="8"/>
      <c r="X149" s="9"/>
      <c r="Y149" s="8"/>
      <c r="Z149" s="9"/>
      <c r="AA149" s="8"/>
      <c r="AB149" s="9"/>
      <c r="AC149" s="8"/>
      <c r="AD149" s="8"/>
      <c r="AE149" s="8"/>
      <c r="AF149" s="9"/>
      <c r="AG149" s="10"/>
      <c r="AH149" s="9"/>
      <c r="AI149" s="10"/>
      <c r="AJ149" s="9"/>
      <c r="AK149" s="5"/>
    </row>
    <row r="150" spans="1:37" ht="27" customHeight="1">
      <c r="A150" s="5"/>
      <c r="B150" s="5"/>
      <c r="C150" s="5"/>
      <c r="D150" s="5"/>
      <c r="E150" s="13"/>
      <c r="F150" s="14"/>
      <c r="G150" s="1"/>
      <c r="H150" s="14"/>
      <c r="I150" s="5"/>
      <c r="J150" s="1"/>
      <c r="K150" s="5"/>
      <c r="L150" s="6"/>
      <c r="M150" s="5"/>
      <c r="N150" s="15"/>
      <c r="O150" s="8"/>
      <c r="P150" s="9"/>
      <c r="Q150" s="8"/>
      <c r="R150" s="9"/>
      <c r="S150" s="8"/>
      <c r="T150" s="9"/>
      <c r="U150" s="8"/>
      <c r="V150" s="9"/>
      <c r="W150" s="8"/>
      <c r="X150" s="9"/>
      <c r="Y150" s="8"/>
      <c r="Z150" s="9"/>
      <c r="AA150" s="8"/>
      <c r="AB150" s="9"/>
      <c r="AC150" s="8"/>
      <c r="AD150" s="8"/>
      <c r="AE150" s="8"/>
      <c r="AF150" s="9"/>
      <c r="AG150" s="10"/>
      <c r="AH150" s="9"/>
      <c r="AI150" s="10"/>
      <c r="AJ150" s="9"/>
      <c r="AK150" s="5"/>
    </row>
    <row r="151" spans="1:37" ht="27" customHeight="1">
      <c r="A151" s="5"/>
      <c r="B151" s="5"/>
      <c r="C151" s="5"/>
      <c r="D151" s="5"/>
      <c r="E151" s="13"/>
      <c r="F151" s="14"/>
      <c r="G151" s="1"/>
      <c r="H151" s="14"/>
      <c r="I151" s="5"/>
      <c r="J151" s="1"/>
      <c r="K151" s="5"/>
      <c r="L151" s="6"/>
      <c r="M151" s="5"/>
      <c r="N151" s="15"/>
      <c r="O151" s="8"/>
      <c r="P151" s="9"/>
      <c r="Q151" s="8"/>
      <c r="R151" s="9"/>
      <c r="S151" s="8"/>
      <c r="T151" s="9"/>
      <c r="U151" s="8"/>
      <c r="V151" s="9"/>
      <c r="W151" s="8"/>
      <c r="X151" s="9"/>
      <c r="Y151" s="8"/>
      <c r="Z151" s="9"/>
      <c r="AA151" s="8"/>
      <c r="AB151" s="9"/>
      <c r="AC151" s="8"/>
      <c r="AD151" s="8"/>
      <c r="AE151" s="8"/>
      <c r="AF151" s="9"/>
      <c r="AG151" s="10"/>
      <c r="AH151" s="9"/>
      <c r="AI151" s="10"/>
      <c r="AJ151" s="9"/>
      <c r="AK151" s="5"/>
    </row>
    <row r="152" spans="1:37" ht="27" customHeight="1">
      <c r="A152" s="5"/>
      <c r="B152" s="5"/>
      <c r="C152" s="5"/>
      <c r="D152" s="5"/>
      <c r="E152" s="13"/>
      <c r="F152" s="14"/>
      <c r="G152" s="1"/>
      <c r="H152" s="14"/>
      <c r="I152" s="5"/>
      <c r="J152" s="1"/>
      <c r="K152" s="5"/>
      <c r="L152" s="6"/>
      <c r="M152" s="5"/>
      <c r="N152" s="15"/>
      <c r="O152" s="8"/>
      <c r="P152" s="9"/>
      <c r="Q152" s="8"/>
      <c r="R152" s="9"/>
      <c r="S152" s="8"/>
      <c r="T152" s="9"/>
      <c r="U152" s="8"/>
      <c r="V152" s="9"/>
      <c r="W152" s="8"/>
      <c r="X152" s="9"/>
      <c r="Y152" s="8"/>
      <c r="Z152" s="9"/>
      <c r="AA152" s="8"/>
      <c r="AB152" s="9"/>
      <c r="AC152" s="8"/>
      <c r="AD152" s="8"/>
      <c r="AE152" s="8"/>
      <c r="AF152" s="9"/>
      <c r="AG152" s="10"/>
      <c r="AH152" s="9"/>
      <c r="AI152" s="10"/>
      <c r="AJ152" s="9"/>
      <c r="AK152" s="5"/>
    </row>
    <row r="153" spans="1:37" ht="27" customHeight="1">
      <c r="A153" s="5"/>
      <c r="B153" s="5"/>
      <c r="C153" s="5"/>
      <c r="D153" s="5"/>
      <c r="E153" s="13"/>
      <c r="F153" s="14"/>
      <c r="G153" s="1"/>
      <c r="H153" s="14"/>
      <c r="I153" s="5"/>
      <c r="J153" s="1"/>
      <c r="K153" s="5"/>
      <c r="L153" s="6"/>
      <c r="M153" s="5"/>
      <c r="N153" s="15"/>
      <c r="O153" s="8"/>
      <c r="P153" s="9"/>
      <c r="Q153" s="8"/>
      <c r="R153" s="9"/>
      <c r="S153" s="8"/>
      <c r="T153" s="9"/>
      <c r="U153" s="8"/>
      <c r="V153" s="9"/>
      <c r="W153" s="8"/>
      <c r="X153" s="9"/>
      <c r="Y153" s="8"/>
      <c r="Z153" s="9"/>
      <c r="AA153" s="8"/>
      <c r="AB153" s="9"/>
      <c r="AC153" s="8"/>
      <c r="AD153" s="8"/>
      <c r="AE153" s="8"/>
      <c r="AF153" s="9"/>
      <c r="AG153" s="10"/>
      <c r="AH153" s="9"/>
      <c r="AI153" s="10"/>
      <c r="AJ153" s="9"/>
      <c r="AK153" s="5"/>
    </row>
    <row r="154" spans="1:37" ht="27" customHeight="1">
      <c r="A154" s="5"/>
      <c r="B154" s="5"/>
      <c r="C154" s="5"/>
      <c r="D154" s="5"/>
      <c r="E154" s="13"/>
      <c r="F154" s="14"/>
      <c r="G154" s="1"/>
      <c r="H154" s="14"/>
      <c r="I154" s="5"/>
      <c r="J154" s="1"/>
      <c r="K154" s="5"/>
      <c r="L154" s="6"/>
      <c r="M154" s="5"/>
      <c r="N154" s="15"/>
      <c r="O154" s="8"/>
      <c r="P154" s="9"/>
      <c r="Q154" s="8"/>
      <c r="R154" s="9"/>
      <c r="S154" s="8"/>
      <c r="T154" s="9"/>
      <c r="U154" s="8"/>
      <c r="V154" s="9"/>
      <c r="W154" s="8"/>
      <c r="X154" s="9"/>
      <c r="Y154" s="8"/>
      <c r="Z154" s="9"/>
      <c r="AA154" s="8"/>
      <c r="AB154" s="9"/>
      <c r="AC154" s="8"/>
      <c r="AD154" s="8"/>
      <c r="AE154" s="8"/>
      <c r="AF154" s="9"/>
      <c r="AG154" s="10"/>
      <c r="AH154" s="9"/>
      <c r="AI154" s="10"/>
      <c r="AJ154" s="9"/>
      <c r="AK154" s="5"/>
    </row>
    <row r="155" spans="1:37" ht="27" customHeight="1">
      <c r="A155" s="5"/>
      <c r="B155" s="5"/>
      <c r="C155" s="5"/>
      <c r="D155" s="5"/>
      <c r="E155" s="13"/>
      <c r="F155" s="14"/>
      <c r="G155" s="1"/>
      <c r="H155" s="14"/>
      <c r="I155" s="5"/>
      <c r="J155" s="1"/>
      <c r="K155" s="5"/>
      <c r="L155" s="6"/>
      <c r="M155" s="5"/>
      <c r="N155" s="15"/>
      <c r="O155" s="8"/>
      <c r="P155" s="9"/>
      <c r="Q155" s="8"/>
      <c r="R155" s="9"/>
      <c r="S155" s="8"/>
      <c r="T155" s="9"/>
      <c r="U155" s="8"/>
      <c r="V155" s="9"/>
      <c r="W155" s="8"/>
      <c r="X155" s="9"/>
      <c r="Y155" s="8"/>
      <c r="Z155" s="9"/>
      <c r="AA155" s="8"/>
      <c r="AB155" s="9"/>
      <c r="AC155" s="8"/>
      <c r="AD155" s="8"/>
      <c r="AE155" s="8"/>
      <c r="AF155" s="9"/>
      <c r="AG155" s="10"/>
      <c r="AH155" s="9"/>
      <c r="AI155" s="10"/>
      <c r="AJ155" s="9"/>
      <c r="AK155" s="5"/>
    </row>
    <row r="156" spans="1:37" ht="27" customHeight="1">
      <c r="A156" s="5"/>
      <c r="B156" s="5"/>
      <c r="C156" s="5"/>
      <c r="D156" s="5"/>
      <c r="E156" s="13"/>
      <c r="F156" s="14"/>
      <c r="G156" s="1"/>
      <c r="H156" s="14"/>
      <c r="I156" s="5"/>
      <c r="J156" s="1"/>
      <c r="K156" s="5"/>
      <c r="L156" s="6"/>
      <c r="M156" s="5"/>
      <c r="N156" s="15"/>
      <c r="O156" s="8"/>
      <c r="P156" s="9"/>
      <c r="Q156" s="8"/>
      <c r="R156" s="9"/>
      <c r="S156" s="8"/>
      <c r="T156" s="9"/>
      <c r="U156" s="8"/>
      <c r="V156" s="9"/>
      <c r="W156" s="8"/>
      <c r="X156" s="9"/>
      <c r="Y156" s="8"/>
      <c r="Z156" s="9"/>
      <c r="AA156" s="8"/>
      <c r="AB156" s="9"/>
      <c r="AC156" s="8"/>
      <c r="AD156" s="8"/>
      <c r="AE156" s="8"/>
      <c r="AF156" s="9"/>
      <c r="AG156" s="10"/>
      <c r="AH156" s="9"/>
      <c r="AI156" s="10"/>
      <c r="AJ156" s="9"/>
      <c r="AK156" s="5"/>
    </row>
    <row r="157" spans="1:37" ht="27" customHeight="1">
      <c r="A157" s="5"/>
      <c r="B157" s="5"/>
      <c r="C157" s="5"/>
      <c r="D157" s="5"/>
      <c r="E157" s="13"/>
      <c r="F157" s="14"/>
      <c r="G157" s="1"/>
      <c r="H157" s="14"/>
      <c r="I157" s="5"/>
      <c r="J157" s="1"/>
      <c r="K157" s="5"/>
      <c r="L157" s="6"/>
      <c r="M157" s="5"/>
      <c r="N157" s="15"/>
      <c r="O157" s="8"/>
      <c r="P157" s="9"/>
      <c r="Q157" s="8"/>
      <c r="R157" s="9"/>
      <c r="S157" s="8"/>
      <c r="T157" s="9"/>
      <c r="U157" s="8"/>
      <c r="V157" s="9"/>
      <c r="W157" s="8"/>
      <c r="X157" s="9"/>
      <c r="Y157" s="8"/>
      <c r="Z157" s="9"/>
      <c r="AA157" s="8"/>
      <c r="AB157" s="9"/>
      <c r="AC157" s="8"/>
      <c r="AD157" s="8"/>
      <c r="AE157" s="8"/>
      <c r="AF157" s="9"/>
      <c r="AG157" s="10"/>
      <c r="AH157" s="9"/>
      <c r="AI157" s="10"/>
      <c r="AJ157" s="9"/>
      <c r="AK157" s="5"/>
    </row>
    <row r="158" spans="1:37" ht="27" customHeight="1">
      <c r="A158" s="5"/>
      <c r="B158" s="5"/>
      <c r="C158" s="5"/>
      <c r="D158" s="5"/>
      <c r="E158" s="13"/>
      <c r="F158" s="14"/>
      <c r="G158" s="1"/>
      <c r="H158" s="14"/>
      <c r="I158" s="5"/>
      <c r="J158" s="1"/>
      <c r="K158" s="5"/>
      <c r="L158" s="6"/>
      <c r="M158" s="5"/>
      <c r="N158" s="15"/>
      <c r="O158" s="8"/>
      <c r="P158" s="9"/>
      <c r="Q158" s="8"/>
      <c r="R158" s="9"/>
      <c r="S158" s="8"/>
      <c r="T158" s="9"/>
      <c r="U158" s="8"/>
      <c r="V158" s="9"/>
      <c r="W158" s="8"/>
      <c r="X158" s="9"/>
      <c r="Y158" s="8"/>
      <c r="Z158" s="9"/>
      <c r="AA158" s="8"/>
      <c r="AB158" s="9"/>
      <c r="AC158" s="8"/>
      <c r="AD158" s="8"/>
      <c r="AE158" s="8"/>
      <c r="AF158" s="9"/>
      <c r="AG158" s="10"/>
      <c r="AH158" s="9"/>
      <c r="AI158" s="10"/>
      <c r="AJ158" s="9"/>
      <c r="AK158" s="5"/>
    </row>
    <row r="159" spans="1:37" ht="27" customHeight="1">
      <c r="A159" s="5"/>
      <c r="B159" s="5"/>
      <c r="C159" s="5"/>
      <c r="D159" s="5"/>
      <c r="E159" s="13"/>
      <c r="F159" s="14"/>
      <c r="G159" s="1"/>
      <c r="H159" s="14"/>
      <c r="I159" s="5"/>
      <c r="J159" s="1"/>
      <c r="K159" s="5"/>
      <c r="L159" s="6"/>
      <c r="M159" s="5"/>
      <c r="N159" s="15"/>
      <c r="O159" s="8"/>
      <c r="P159" s="9"/>
      <c r="Q159" s="8"/>
      <c r="R159" s="9"/>
      <c r="S159" s="8"/>
      <c r="T159" s="9"/>
      <c r="U159" s="8"/>
      <c r="V159" s="9"/>
      <c r="W159" s="8"/>
      <c r="X159" s="9"/>
      <c r="Y159" s="8"/>
      <c r="Z159" s="9"/>
      <c r="AA159" s="8"/>
      <c r="AB159" s="9"/>
      <c r="AC159" s="8"/>
      <c r="AD159" s="8"/>
      <c r="AE159" s="8"/>
      <c r="AF159" s="9"/>
      <c r="AG159" s="10"/>
      <c r="AH159" s="9"/>
      <c r="AI159" s="10"/>
      <c r="AJ159" s="9"/>
      <c r="AK159" s="5"/>
    </row>
    <row r="160" spans="1:37" ht="27" customHeight="1">
      <c r="A160" s="5"/>
      <c r="B160" s="5"/>
      <c r="C160" s="5"/>
      <c r="D160" s="5"/>
      <c r="E160" s="13"/>
      <c r="F160" s="14"/>
      <c r="G160" s="1"/>
      <c r="H160" s="14"/>
      <c r="I160" s="5"/>
      <c r="J160" s="1"/>
      <c r="K160" s="5"/>
      <c r="L160" s="6"/>
      <c r="M160" s="5"/>
      <c r="N160" s="15"/>
      <c r="O160" s="8"/>
      <c r="P160" s="9"/>
      <c r="Q160" s="8"/>
      <c r="R160" s="9"/>
      <c r="S160" s="8"/>
      <c r="T160" s="9"/>
      <c r="U160" s="8"/>
      <c r="V160" s="9"/>
      <c r="W160" s="8"/>
      <c r="X160" s="9"/>
      <c r="Y160" s="8"/>
      <c r="Z160" s="9"/>
      <c r="AA160" s="8"/>
      <c r="AB160" s="9"/>
      <c r="AC160" s="8"/>
      <c r="AD160" s="8"/>
      <c r="AE160" s="8"/>
      <c r="AF160" s="9"/>
      <c r="AG160" s="10"/>
      <c r="AH160" s="9"/>
      <c r="AI160" s="10"/>
      <c r="AJ160" s="9"/>
      <c r="AK160" s="5"/>
    </row>
  </sheetData>
  <autoFilter ref="A3:AK160" xr:uid="{00000000-0009-0000-0000-000007000000}"/>
  <mergeCells count="38">
    <mergeCell ref="AJ2:AJ3"/>
    <mergeCell ref="AK2:AK3"/>
    <mergeCell ref="AE2:AE3"/>
    <mergeCell ref="AF2:AF3"/>
    <mergeCell ref="AG2:AG3"/>
    <mergeCell ref="AH2:AH3"/>
    <mergeCell ref="AI2:AI3"/>
    <mergeCell ref="Z2:Z3"/>
    <mergeCell ref="AA2:AA3"/>
    <mergeCell ref="AB2:AB3"/>
    <mergeCell ref="AC2:AC3"/>
    <mergeCell ref="AD2:AD3"/>
    <mergeCell ref="U2:U3"/>
    <mergeCell ref="V2:V3"/>
    <mergeCell ref="W2:W3"/>
    <mergeCell ref="X2:X3"/>
    <mergeCell ref="Y2:Y3"/>
    <mergeCell ref="P2:P3"/>
    <mergeCell ref="Q2:Q3"/>
    <mergeCell ref="R2:R3"/>
    <mergeCell ref="S2:S3"/>
    <mergeCell ref="T2:T3"/>
    <mergeCell ref="A1:AK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honeticPr fontId="63" type="noConversion"/>
  <conditionalFormatting sqref="L4:L15">
    <cfRule type="dataBar" priority="32">
      <dataBar>
        <cfvo type="num" val="0"/>
        <cfvo type="num" val="1"/>
        <color rgb="FF00B0F0"/>
      </dataBar>
      <extLst>
        <ext xmlns:x14="http://schemas.microsoft.com/office/spreadsheetml/2009/9/main" uri="{B025F937-C7B1-47D3-B67F-A62EFF666E3E}">
          <x14:id>{B3643D10-63E9-4DB3-82BC-C357EBB4C31E}</x14:id>
        </ext>
      </extLst>
    </cfRule>
  </conditionalFormatting>
  <conditionalFormatting sqref="L16:L160">
    <cfRule type="dataBar" priority="21">
      <dataBar>
        <cfvo type="num" val="0"/>
        <cfvo type="num" val="1"/>
        <color rgb="FF00B0F0"/>
      </dataBar>
      <extLst>
        <ext xmlns:x14="http://schemas.microsoft.com/office/spreadsheetml/2009/9/main" uri="{B025F937-C7B1-47D3-B67F-A62EFF666E3E}">
          <x14:id>{229E898A-A772-4C70-BC60-5408C0155149}</x14:id>
        </ext>
      </extLst>
    </cfRule>
  </conditionalFormatting>
  <conditionalFormatting sqref="O15">
    <cfRule type="dataBar" priority="5">
      <dataBar>
        <cfvo type="num" val="0"/>
        <cfvo type="num" val="1"/>
        <color rgb="FF00B050"/>
      </dataBar>
      <extLst>
        <ext xmlns:x14="http://schemas.microsoft.com/office/spreadsheetml/2009/9/main" uri="{B025F937-C7B1-47D3-B67F-A62EFF666E3E}">
          <x14:id>{38701055-F250-4B80-AC58-5E864EB4C807}</x14:id>
        </ext>
      </extLst>
    </cfRule>
  </conditionalFormatting>
  <conditionalFormatting sqref="O16">
    <cfRule type="dataBar" priority="4">
      <dataBar>
        <cfvo type="num" val="0"/>
        <cfvo type="num" val="1"/>
        <color rgb="FF00B050"/>
      </dataBar>
      <extLst>
        <ext xmlns:x14="http://schemas.microsoft.com/office/spreadsheetml/2009/9/main" uri="{B025F937-C7B1-47D3-B67F-A62EFF666E3E}">
          <x14:id>{7E6E4F40-8566-40F3-9A84-8557539F428E}</x14:id>
        </ext>
      </extLst>
    </cfRule>
  </conditionalFormatting>
  <conditionalFormatting sqref="O26">
    <cfRule type="dataBar" priority="3">
      <dataBar>
        <cfvo type="num" val="0"/>
        <cfvo type="num" val="1"/>
        <color rgb="FF00B050"/>
      </dataBar>
      <extLst>
        <ext xmlns:x14="http://schemas.microsoft.com/office/spreadsheetml/2009/9/main" uri="{B025F937-C7B1-47D3-B67F-A62EFF666E3E}">
          <x14:id>{52C7C0F0-AA56-4B95-BB44-A717CDE8B142}</x14:id>
        </ext>
      </extLst>
    </cfRule>
  </conditionalFormatting>
  <conditionalFormatting sqref="O27">
    <cfRule type="dataBar" priority="2">
      <dataBar>
        <cfvo type="num" val="0"/>
        <cfvo type="num" val="1"/>
        <color rgb="FF00B050"/>
      </dataBar>
      <extLst>
        <ext xmlns:x14="http://schemas.microsoft.com/office/spreadsheetml/2009/9/main" uri="{B025F937-C7B1-47D3-B67F-A62EFF666E3E}">
          <x14:id>{30CEBF48-A700-4896-B99F-DF8B1971C352}</x14:id>
        </ext>
      </extLst>
    </cfRule>
  </conditionalFormatting>
  <conditionalFormatting sqref="O28">
    <cfRule type="dataBar" priority="1">
      <dataBar>
        <cfvo type="num" val="0"/>
        <cfvo type="num" val="1"/>
        <color rgb="FF00B050"/>
      </dataBar>
      <extLst>
        <ext xmlns:x14="http://schemas.microsoft.com/office/spreadsheetml/2009/9/main" uri="{B025F937-C7B1-47D3-B67F-A62EFF666E3E}">
          <x14:id>{84E82208-5515-442D-8F89-FE2EF7F41ABE}</x14:id>
        </ext>
      </extLst>
    </cfRule>
  </conditionalFormatting>
  <conditionalFormatting sqref="O30">
    <cfRule type="dataBar" priority="9">
      <dataBar>
        <cfvo type="num" val="0"/>
        <cfvo type="num" val="1"/>
        <color rgb="FF00B050"/>
      </dataBar>
      <extLst>
        <ext xmlns:x14="http://schemas.microsoft.com/office/spreadsheetml/2009/9/main" uri="{B025F937-C7B1-47D3-B67F-A62EFF666E3E}">
          <x14:id>{9B2633EF-473F-4065-BA71-0AC29BA7EA99}</x14:id>
        </ext>
      </extLst>
    </cfRule>
  </conditionalFormatting>
  <conditionalFormatting sqref="O31">
    <cfRule type="dataBar" priority="8">
      <dataBar>
        <cfvo type="num" val="0"/>
        <cfvo type="num" val="1"/>
        <color rgb="FF00B050"/>
      </dataBar>
      <extLst>
        <ext xmlns:x14="http://schemas.microsoft.com/office/spreadsheetml/2009/9/main" uri="{B025F937-C7B1-47D3-B67F-A62EFF666E3E}">
          <x14:id>{4BAF0375-A547-47BF-B783-D92FEC16803A}</x14:id>
        </ext>
      </extLst>
    </cfRule>
  </conditionalFormatting>
  <conditionalFormatting sqref="O32">
    <cfRule type="dataBar" priority="7">
      <dataBar>
        <cfvo type="num" val="0"/>
        <cfvo type="num" val="1"/>
        <color rgb="FF00B050"/>
      </dataBar>
      <extLst>
        <ext xmlns:x14="http://schemas.microsoft.com/office/spreadsheetml/2009/9/main" uri="{B025F937-C7B1-47D3-B67F-A62EFF666E3E}">
          <x14:id>{28C9D47F-9AF0-42B8-B747-0D3BD09EBCCD}</x14:id>
        </ext>
      </extLst>
    </cfRule>
  </conditionalFormatting>
  <conditionalFormatting sqref="O33">
    <cfRule type="dataBar" priority="6">
      <dataBar>
        <cfvo type="num" val="0"/>
        <cfvo type="num" val="1"/>
        <color rgb="FF00B050"/>
      </dataBar>
      <extLst>
        <ext xmlns:x14="http://schemas.microsoft.com/office/spreadsheetml/2009/9/main" uri="{B025F937-C7B1-47D3-B67F-A62EFF666E3E}">
          <x14:id>{3414B4EE-C519-4E16-98ED-387BB2321B01}</x14:id>
        </ext>
      </extLst>
    </cfRule>
  </conditionalFormatting>
  <conditionalFormatting sqref="O36">
    <cfRule type="dataBar" priority="10">
      <dataBar>
        <cfvo type="num" val="0"/>
        <cfvo type="num" val="1"/>
        <color rgb="FF00B050"/>
      </dataBar>
      <extLst>
        <ext xmlns:x14="http://schemas.microsoft.com/office/spreadsheetml/2009/9/main" uri="{B025F937-C7B1-47D3-B67F-A62EFF666E3E}">
          <x14:id>{C97596B2-D6A3-47A5-824A-0CC9E41C60F1}</x14:id>
        </ext>
      </extLst>
    </cfRule>
  </conditionalFormatting>
  <conditionalFormatting sqref="O37">
    <cfRule type="dataBar" priority="11">
      <dataBar>
        <cfvo type="num" val="0"/>
        <cfvo type="num" val="1"/>
        <color rgb="FF00B050"/>
      </dataBar>
      <extLst>
        <ext xmlns:x14="http://schemas.microsoft.com/office/spreadsheetml/2009/9/main" uri="{B025F937-C7B1-47D3-B67F-A62EFF666E3E}">
          <x14:id>{90905D07-0FD2-420E-8DED-EF5D5942721C}</x14:id>
        </ext>
      </extLst>
    </cfRule>
  </conditionalFormatting>
  <conditionalFormatting sqref="O38:O160 O34:O35 O4:O14 O29 O17:O25">
    <cfRule type="dataBar" priority="31">
      <dataBar>
        <cfvo type="num" val="0"/>
        <cfvo type="num" val="1"/>
        <color rgb="FF00B050"/>
      </dataBar>
      <extLst>
        <ext xmlns:x14="http://schemas.microsoft.com/office/spreadsheetml/2009/9/main" uri="{B025F937-C7B1-47D3-B67F-A62EFF666E3E}">
          <x14:id>{E4FD3908-95C5-4C77-86DD-867A06596BFF}</x14:id>
        </ext>
      </extLst>
    </cfRule>
  </conditionalFormatting>
  <conditionalFormatting sqref="Q4:Q15 Q17:Q28 Q30:Q41 Q43:Q54 Q56:Q67 Q69:Q80 Q82:Q93 Q95:Q106 Q108:Q119 Q121:Q132 Q134:Q145 Q147:Q158 Q160">
    <cfRule type="dataBar" priority="30">
      <dataBar>
        <cfvo type="num" val="0"/>
        <cfvo type="num" val="1"/>
        <color rgb="FF00B050"/>
      </dataBar>
      <extLst>
        <ext xmlns:x14="http://schemas.microsoft.com/office/spreadsheetml/2009/9/main" uri="{B025F937-C7B1-47D3-B67F-A62EFF666E3E}">
          <x14:id>{43B1FB05-C1B7-4953-81B9-B696E9C36A3B}</x14:id>
        </ext>
      </extLst>
    </cfRule>
  </conditionalFormatting>
  <conditionalFormatting sqref="Q29 Q16 Q42 Q55 Q68 Q81 Q94 Q107 Q120 Q133 Q146 Q159">
    <cfRule type="dataBar" priority="20">
      <dataBar>
        <cfvo type="num" val="0"/>
        <cfvo type="num" val="1"/>
        <color rgb="FF00B050"/>
      </dataBar>
      <extLst>
        <ext xmlns:x14="http://schemas.microsoft.com/office/spreadsheetml/2009/9/main" uri="{B025F937-C7B1-47D3-B67F-A62EFF666E3E}">
          <x14:id>{A56C98B3-3BD4-426E-8B30-30DB10C69A8D}</x14:id>
        </ext>
      </extLst>
    </cfRule>
  </conditionalFormatting>
  <conditionalFormatting sqref="S4:S15 S17:S28 S30:S41 S43:S54 S56:S67 S69:S80 S82:S93 S95:S106 S108:S119 S121:S132 S134:S145 S147:S158 S160">
    <cfRule type="dataBar" priority="29">
      <dataBar>
        <cfvo type="num" val="0"/>
        <cfvo type="num" val="1"/>
        <color rgb="FF00B050"/>
      </dataBar>
      <extLst>
        <ext xmlns:x14="http://schemas.microsoft.com/office/spreadsheetml/2009/9/main" uri="{B025F937-C7B1-47D3-B67F-A62EFF666E3E}">
          <x14:id>{FBB8250D-6D2F-473D-B37E-D1AFC7D1788D}</x14:id>
        </ext>
      </extLst>
    </cfRule>
  </conditionalFormatting>
  <conditionalFormatting sqref="S29 S16 S42 S55 S68 S81 S94 S107 S120 S133 S146 S159">
    <cfRule type="dataBar" priority="19">
      <dataBar>
        <cfvo type="num" val="0"/>
        <cfvo type="num" val="1"/>
        <color rgb="FF00B050"/>
      </dataBar>
      <extLst>
        <ext xmlns:x14="http://schemas.microsoft.com/office/spreadsheetml/2009/9/main" uri="{B025F937-C7B1-47D3-B67F-A62EFF666E3E}">
          <x14:id>{F39DFEBF-1B70-4E72-8C0D-B2D5A4B3F798}</x14:id>
        </ext>
      </extLst>
    </cfRule>
  </conditionalFormatting>
  <conditionalFormatting sqref="U4:U15 U17:U28 U30:U41 U43:U54 U56:U67 U69:U80 U82:U93 U95:U106 U108:U119 U121:U132 U134:U145 U147:U158 U160">
    <cfRule type="dataBar" priority="28">
      <dataBar>
        <cfvo type="num" val="0"/>
        <cfvo type="num" val="1"/>
        <color rgb="FF00B050"/>
      </dataBar>
      <extLst>
        <ext xmlns:x14="http://schemas.microsoft.com/office/spreadsheetml/2009/9/main" uri="{B025F937-C7B1-47D3-B67F-A62EFF666E3E}">
          <x14:id>{5E6219EA-22F5-4443-8BB9-9A7A03DAD8DA}</x14:id>
        </ext>
      </extLst>
    </cfRule>
  </conditionalFormatting>
  <conditionalFormatting sqref="U16 U29 U42 U55 U68 U81 U94 U107 U120 U133 U146 U159">
    <cfRule type="dataBar" priority="18">
      <dataBar>
        <cfvo type="num" val="0"/>
        <cfvo type="num" val="1"/>
        <color rgb="FF00B050"/>
      </dataBar>
      <extLst>
        <ext xmlns:x14="http://schemas.microsoft.com/office/spreadsheetml/2009/9/main" uri="{B025F937-C7B1-47D3-B67F-A62EFF666E3E}">
          <x14:id>{2DF3DABF-6B67-4785-B411-818291577759}</x14:id>
        </ext>
      </extLst>
    </cfRule>
  </conditionalFormatting>
  <conditionalFormatting sqref="W4:W15 W17:W28 W30:W41 W43:W54 W56:W67 W69:W80 W82:W93 W95:W106 W108:W119 W121:W132 W134:W145 W147:W158 W160">
    <cfRule type="dataBar" priority="27">
      <dataBar>
        <cfvo type="num" val="0"/>
        <cfvo type="num" val="1"/>
        <color rgb="FF00B050"/>
      </dataBar>
      <extLst>
        <ext xmlns:x14="http://schemas.microsoft.com/office/spreadsheetml/2009/9/main" uri="{B025F937-C7B1-47D3-B67F-A62EFF666E3E}">
          <x14:id>{191454D2-8F58-4594-B290-1206944B334F}</x14:id>
        </ext>
      </extLst>
    </cfRule>
  </conditionalFormatting>
  <conditionalFormatting sqref="W16 W29 W42 W55 W68 W81 W94 W107 W120 W133 W146 W159">
    <cfRule type="dataBar" priority="17">
      <dataBar>
        <cfvo type="num" val="0"/>
        <cfvo type="num" val="1"/>
        <color rgb="FF00B050"/>
      </dataBar>
      <extLst>
        <ext xmlns:x14="http://schemas.microsoft.com/office/spreadsheetml/2009/9/main" uri="{B025F937-C7B1-47D3-B67F-A62EFF666E3E}">
          <x14:id>{2A1F899F-65D9-45DA-B249-A71A77367C34}</x14:id>
        </ext>
      </extLst>
    </cfRule>
  </conditionalFormatting>
  <conditionalFormatting sqref="Y4:Y15 Y17:Y28 Y30:Y41 Y43:Y54 Y56:Y67 Y69:Y80 Y82:Y93 Y95:Y106 Y108:Y119 Y121:Y132 Y134:Y145 Y147:Y158 Y160">
    <cfRule type="dataBar" priority="26">
      <dataBar>
        <cfvo type="num" val="0"/>
        <cfvo type="num" val="1"/>
        <color rgb="FF00B050"/>
      </dataBar>
      <extLst>
        <ext xmlns:x14="http://schemas.microsoft.com/office/spreadsheetml/2009/9/main" uri="{B025F937-C7B1-47D3-B67F-A62EFF666E3E}">
          <x14:id>{7D012C8A-4A84-4941-9A54-416E1581DDAB}</x14:id>
        </ext>
      </extLst>
    </cfRule>
  </conditionalFormatting>
  <conditionalFormatting sqref="Y16 Y29 Y42 Y55 Y68 Y81 Y94 Y107 Y120 Y133 Y146 Y159">
    <cfRule type="dataBar" priority="16">
      <dataBar>
        <cfvo type="num" val="0"/>
        <cfvo type="num" val="1"/>
        <color rgb="FF00B050"/>
      </dataBar>
      <extLst>
        <ext xmlns:x14="http://schemas.microsoft.com/office/spreadsheetml/2009/9/main" uri="{B025F937-C7B1-47D3-B67F-A62EFF666E3E}">
          <x14:id>{73BE017E-C6F0-4850-96EC-A9F77A69D524}</x14:id>
        </ext>
      </extLst>
    </cfRule>
  </conditionalFormatting>
  <conditionalFormatting sqref="AA4:AA15 AA17:AA28 AA30:AA41 AA43:AA54 AA56:AA67 AA69:AA80 AA82:AA93 AA95:AA106 AA108:AA119 AA121:AA132 AA134:AA145 AA147:AA158 AA160">
    <cfRule type="dataBar" priority="25">
      <dataBar>
        <cfvo type="num" val="0"/>
        <cfvo type="num" val="1"/>
        <color rgb="FF00B050"/>
      </dataBar>
      <extLst>
        <ext xmlns:x14="http://schemas.microsoft.com/office/spreadsheetml/2009/9/main" uri="{B025F937-C7B1-47D3-B67F-A62EFF666E3E}">
          <x14:id>{6A237668-581B-4C00-AC42-592D6B6B8014}</x14:id>
        </ext>
      </extLst>
    </cfRule>
  </conditionalFormatting>
  <conditionalFormatting sqref="AA16 AA29 AA42 AA55 AA68 AA81 AA94 AA107 AA120 AA133 AA146 AA159">
    <cfRule type="dataBar" priority="15">
      <dataBar>
        <cfvo type="num" val="0"/>
        <cfvo type="num" val="1"/>
        <color rgb="FF00B050"/>
      </dataBar>
      <extLst>
        <ext xmlns:x14="http://schemas.microsoft.com/office/spreadsheetml/2009/9/main" uri="{B025F937-C7B1-47D3-B67F-A62EFF666E3E}">
          <x14:id>{8D43ADE4-3913-41E0-A0FC-BE44304F891B}</x14:id>
        </ext>
      </extLst>
    </cfRule>
  </conditionalFormatting>
  <conditionalFormatting sqref="AC4:AC15 AC17:AC28 AC30:AC41 AC43:AC54 AC56:AC67 AC69:AC80 AC82:AC93 AC95:AC106 AC108:AC119 AC121:AC132 AC134:AC145 AC147:AC158 AC160">
    <cfRule type="dataBar" priority="24">
      <dataBar>
        <cfvo type="num" val="0"/>
        <cfvo type="num" val="1"/>
        <color rgb="FF00B050"/>
      </dataBar>
      <extLst>
        <ext xmlns:x14="http://schemas.microsoft.com/office/spreadsheetml/2009/9/main" uri="{B025F937-C7B1-47D3-B67F-A62EFF666E3E}">
          <x14:id>{C79A622A-9907-401D-A04D-12B528E6F074}</x14:id>
        </ext>
      </extLst>
    </cfRule>
  </conditionalFormatting>
  <conditionalFormatting sqref="AC16 AC29 AC42 AC55 AC68 AC81 AC94 AC107 AC120 AC133 AC146 AC159">
    <cfRule type="dataBar" priority="14">
      <dataBar>
        <cfvo type="num" val="0"/>
        <cfvo type="num" val="1"/>
        <color rgb="FF00B050"/>
      </dataBar>
      <extLst>
        <ext xmlns:x14="http://schemas.microsoft.com/office/spreadsheetml/2009/9/main" uri="{B025F937-C7B1-47D3-B67F-A62EFF666E3E}">
          <x14:id>{ADD7BC38-927C-46AA-9736-F6DFD806239B}</x14:id>
        </ext>
      </extLst>
    </cfRule>
  </conditionalFormatting>
  <conditionalFormatting sqref="AD4:AD15 AD17:AD28 AD30:AD41 AD43:AD54 AD56:AD67 AD69:AD80 AD82:AD93 AD95:AD106 AD108:AD119 AD121:AD132 AD134:AD145 AD147:AD158 AD160">
    <cfRule type="dataBar" priority="23">
      <dataBar>
        <cfvo type="num" val="0"/>
        <cfvo type="num" val="1"/>
        <color rgb="FF00B050"/>
      </dataBar>
      <extLst>
        <ext xmlns:x14="http://schemas.microsoft.com/office/spreadsheetml/2009/9/main" uri="{B025F937-C7B1-47D3-B67F-A62EFF666E3E}">
          <x14:id>{5ECAF9D9-20CF-4D52-B2BE-10F8BC4B0275}</x14:id>
        </ext>
      </extLst>
    </cfRule>
  </conditionalFormatting>
  <conditionalFormatting sqref="AD16 AD29 AD42 AD55 AD68 AD81 AD94 AD107 AD120 AD133 AD146 AD159">
    <cfRule type="dataBar" priority="13">
      <dataBar>
        <cfvo type="num" val="0"/>
        <cfvo type="num" val="1"/>
        <color rgb="FF00B050"/>
      </dataBar>
      <extLst>
        <ext xmlns:x14="http://schemas.microsoft.com/office/spreadsheetml/2009/9/main" uri="{B025F937-C7B1-47D3-B67F-A62EFF666E3E}">
          <x14:id>{90632DFA-9C05-4A54-81E0-44F60A380FCC}</x14:id>
        </ext>
      </extLst>
    </cfRule>
  </conditionalFormatting>
  <conditionalFormatting sqref="AE4:AE15 AE17:AE28 AE30:AE41 AE43:AE54 AE56:AE67 AE69:AE80 AE82:AE93 AE95:AE106 AE108:AE119 AE121:AE132 AE134:AE145 AE147:AE158 AE160">
    <cfRule type="dataBar" priority="22">
      <dataBar>
        <cfvo type="num" val="0"/>
        <cfvo type="num" val="1"/>
        <color rgb="FF00B050"/>
      </dataBar>
      <extLst>
        <ext xmlns:x14="http://schemas.microsoft.com/office/spreadsheetml/2009/9/main" uri="{B025F937-C7B1-47D3-B67F-A62EFF666E3E}">
          <x14:id>{03512788-418C-4EAE-97BB-D3479968C6D5}</x14:id>
        </ext>
      </extLst>
    </cfRule>
  </conditionalFormatting>
  <conditionalFormatting sqref="AE16 AE29 AE42 AE55 AE68 AE81 AE94 AE107 AE120 AE133 AE146 AE159">
    <cfRule type="dataBar" priority="12">
      <dataBar>
        <cfvo type="num" val="0"/>
        <cfvo type="num" val="1"/>
        <color rgb="FF00B050"/>
      </dataBar>
      <extLst>
        <ext xmlns:x14="http://schemas.microsoft.com/office/spreadsheetml/2009/9/main" uri="{B025F937-C7B1-47D3-B67F-A62EFF666E3E}">
          <x14:id>{1C6232FC-2F54-4CF8-8474-B097BFC84D24}</x14:id>
        </ext>
      </extLst>
    </cfRule>
  </conditionalFormatting>
  <pageMargins left="0.69930555555555596" right="0.69930555555555596"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B3643D10-63E9-4DB3-82BC-C357EBB4C31E}">
            <x14:dataBar minLength="0" maxLength="100" negativeBarColorSameAsPositive="1" axisPosition="none">
              <x14:cfvo type="num">
                <xm:f>0</xm:f>
              </x14:cfvo>
              <x14:cfvo type="num">
                <xm:f>1</xm:f>
              </x14:cfvo>
            </x14:dataBar>
          </x14:cfRule>
          <xm:sqref>L4:L15</xm:sqref>
        </x14:conditionalFormatting>
        <x14:conditionalFormatting xmlns:xm="http://schemas.microsoft.com/office/excel/2006/main">
          <x14:cfRule type="dataBar" id="{229E898A-A772-4C70-BC60-5408C0155149}">
            <x14:dataBar minLength="0" maxLength="100" negativeBarColorSameAsPositive="1" axisPosition="none">
              <x14:cfvo type="num">
                <xm:f>0</xm:f>
              </x14:cfvo>
              <x14:cfvo type="num">
                <xm:f>1</xm:f>
              </x14:cfvo>
            </x14:dataBar>
          </x14:cfRule>
          <xm:sqref>L16:L160</xm:sqref>
        </x14:conditionalFormatting>
        <x14:conditionalFormatting xmlns:xm="http://schemas.microsoft.com/office/excel/2006/main">
          <x14:cfRule type="dataBar" id="{38701055-F250-4B80-AC58-5E864EB4C807}">
            <x14:dataBar minLength="0" maxLength="100" negativeBarColorSameAsPositive="1" axisPosition="none">
              <x14:cfvo type="num">
                <xm:f>0</xm:f>
              </x14:cfvo>
              <x14:cfvo type="num">
                <xm:f>1</xm:f>
              </x14:cfvo>
            </x14:dataBar>
          </x14:cfRule>
          <xm:sqref>O15</xm:sqref>
        </x14:conditionalFormatting>
        <x14:conditionalFormatting xmlns:xm="http://schemas.microsoft.com/office/excel/2006/main">
          <x14:cfRule type="dataBar" id="{7E6E4F40-8566-40F3-9A84-8557539F428E}">
            <x14:dataBar minLength="0" maxLength="100" negativeBarColorSameAsPositive="1" axisPosition="none">
              <x14:cfvo type="num">
                <xm:f>0</xm:f>
              </x14:cfvo>
              <x14:cfvo type="num">
                <xm:f>1</xm:f>
              </x14:cfvo>
            </x14:dataBar>
          </x14:cfRule>
          <xm:sqref>O16</xm:sqref>
        </x14:conditionalFormatting>
        <x14:conditionalFormatting xmlns:xm="http://schemas.microsoft.com/office/excel/2006/main">
          <x14:cfRule type="dataBar" id="{52C7C0F0-AA56-4B95-BB44-A717CDE8B142}">
            <x14:dataBar minLength="0" maxLength="100" negativeBarColorSameAsPositive="1" axisPosition="none">
              <x14:cfvo type="num">
                <xm:f>0</xm:f>
              </x14:cfvo>
              <x14:cfvo type="num">
                <xm:f>1</xm:f>
              </x14:cfvo>
            </x14:dataBar>
          </x14:cfRule>
          <xm:sqref>O26</xm:sqref>
        </x14:conditionalFormatting>
        <x14:conditionalFormatting xmlns:xm="http://schemas.microsoft.com/office/excel/2006/main">
          <x14:cfRule type="dataBar" id="{30CEBF48-A700-4896-B99F-DF8B1971C352}">
            <x14:dataBar minLength="0" maxLength="100" negativeBarColorSameAsPositive="1" axisPosition="none">
              <x14:cfvo type="num">
                <xm:f>0</xm:f>
              </x14:cfvo>
              <x14:cfvo type="num">
                <xm:f>1</xm:f>
              </x14:cfvo>
            </x14:dataBar>
          </x14:cfRule>
          <xm:sqref>O27</xm:sqref>
        </x14:conditionalFormatting>
        <x14:conditionalFormatting xmlns:xm="http://schemas.microsoft.com/office/excel/2006/main">
          <x14:cfRule type="dataBar" id="{84E82208-5515-442D-8F89-FE2EF7F41ABE}">
            <x14:dataBar minLength="0" maxLength="100" negativeBarColorSameAsPositive="1" axisPosition="none">
              <x14:cfvo type="num">
                <xm:f>0</xm:f>
              </x14:cfvo>
              <x14:cfvo type="num">
                <xm:f>1</xm:f>
              </x14:cfvo>
            </x14:dataBar>
          </x14:cfRule>
          <xm:sqref>O28</xm:sqref>
        </x14:conditionalFormatting>
        <x14:conditionalFormatting xmlns:xm="http://schemas.microsoft.com/office/excel/2006/main">
          <x14:cfRule type="dataBar" id="{9B2633EF-473F-4065-BA71-0AC29BA7EA99}">
            <x14:dataBar minLength="0" maxLength="100" negativeBarColorSameAsPositive="1" axisPosition="none">
              <x14:cfvo type="num">
                <xm:f>0</xm:f>
              </x14:cfvo>
              <x14:cfvo type="num">
                <xm:f>1</xm:f>
              </x14:cfvo>
            </x14:dataBar>
          </x14:cfRule>
          <xm:sqref>O30</xm:sqref>
        </x14:conditionalFormatting>
        <x14:conditionalFormatting xmlns:xm="http://schemas.microsoft.com/office/excel/2006/main">
          <x14:cfRule type="dataBar" id="{4BAF0375-A547-47BF-B783-D92FEC16803A}">
            <x14:dataBar minLength="0" maxLength="100" negativeBarColorSameAsPositive="1" axisPosition="none">
              <x14:cfvo type="num">
                <xm:f>0</xm:f>
              </x14:cfvo>
              <x14:cfvo type="num">
                <xm:f>1</xm:f>
              </x14:cfvo>
            </x14:dataBar>
          </x14:cfRule>
          <xm:sqref>O31</xm:sqref>
        </x14:conditionalFormatting>
        <x14:conditionalFormatting xmlns:xm="http://schemas.microsoft.com/office/excel/2006/main">
          <x14:cfRule type="dataBar" id="{28C9D47F-9AF0-42B8-B747-0D3BD09EBCCD}">
            <x14:dataBar minLength="0" maxLength="100" negativeBarColorSameAsPositive="1" axisPosition="none">
              <x14:cfvo type="num">
                <xm:f>0</xm:f>
              </x14:cfvo>
              <x14:cfvo type="num">
                <xm:f>1</xm:f>
              </x14:cfvo>
            </x14:dataBar>
          </x14:cfRule>
          <xm:sqref>O32</xm:sqref>
        </x14:conditionalFormatting>
        <x14:conditionalFormatting xmlns:xm="http://schemas.microsoft.com/office/excel/2006/main">
          <x14:cfRule type="dataBar" id="{3414B4EE-C519-4E16-98ED-387BB2321B01}">
            <x14:dataBar minLength="0" maxLength="100" negativeBarColorSameAsPositive="1" axisPosition="none">
              <x14:cfvo type="num">
                <xm:f>0</xm:f>
              </x14:cfvo>
              <x14:cfvo type="num">
                <xm:f>1</xm:f>
              </x14:cfvo>
            </x14:dataBar>
          </x14:cfRule>
          <xm:sqref>O33</xm:sqref>
        </x14:conditionalFormatting>
        <x14:conditionalFormatting xmlns:xm="http://schemas.microsoft.com/office/excel/2006/main">
          <x14:cfRule type="dataBar" id="{C97596B2-D6A3-47A5-824A-0CC9E41C60F1}">
            <x14:dataBar minLength="0" maxLength="100" negativeBarColorSameAsPositive="1" axisPosition="none">
              <x14:cfvo type="num">
                <xm:f>0</xm:f>
              </x14:cfvo>
              <x14:cfvo type="num">
                <xm:f>1</xm:f>
              </x14:cfvo>
            </x14:dataBar>
          </x14:cfRule>
          <xm:sqref>O36</xm:sqref>
        </x14:conditionalFormatting>
        <x14:conditionalFormatting xmlns:xm="http://schemas.microsoft.com/office/excel/2006/main">
          <x14:cfRule type="dataBar" id="{90905D07-0FD2-420E-8DED-EF5D5942721C}">
            <x14:dataBar minLength="0" maxLength="100" negativeBarColorSameAsPositive="1" axisPosition="none">
              <x14:cfvo type="num">
                <xm:f>0</xm:f>
              </x14:cfvo>
              <x14:cfvo type="num">
                <xm:f>1</xm:f>
              </x14:cfvo>
            </x14:dataBar>
          </x14:cfRule>
          <xm:sqref>O37</xm:sqref>
        </x14:conditionalFormatting>
        <x14:conditionalFormatting xmlns:xm="http://schemas.microsoft.com/office/excel/2006/main">
          <x14:cfRule type="dataBar" id="{E4FD3908-95C5-4C77-86DD-867A06596BFF}">
            <x14:dataBar minLength="0" maxLength="100" negativeBarColorSameAsPositive="1" axisPosition="none">
              <x14:cfvo type="num">
                <xm:f>0</xm:f>
              </x14:cfvo>
              <x14:cfvo type="num">
                <xm:f>1</xm:f>
              </x14:cfvo>
            </x14:dataBar>
          </x14:cfRule>
          <xm:sqref>O38:O160 O34:O35 O4:O14 O29 O17:O25</xm:sqref>
        </x14:conditionalFormatting>
        <x14:conditionalFormatting xmlns:xm="http://schemas.microsoft.com/office/excel/2006/main">
          <x14:cfRule type="dataBar" id="{43B1FB05-C1B7-4953-81B9-B696E9C36A3B}">
            <x14:dataBar minLength="0" maxLength="100" negativeBarColorSameAsPositive="1" axisPosition="none">
              <x14:cfvo type="num">
                <xm:f>0</xm:f>
              </x14:cfvo>
              <x14:cfvo type="num">
                <xm:f>1</xm:f>
              </x14:cfvo>
            </x14:dataBar>
          </x14:cfRule>
          <xm:sqref>Q4:Q15 Q17:Q28 Q30:Q41 Q43:Q54 Q56:Q67 Q69:Q80 Q82:Q93 Q95:Q106 Q108:Q119 Q121:Q132 Q134:Q145 Q147:Q158 Q160</xm:sqref>
        </x14:conditionalFormatting>
        <x14:conditionalFormatting xmlns:xm="http://schemas.microsoft.com/office/excel/2006/main">
          <x14:cfRule type="dataBar" id="{A56C98B3-3BD4-426E-8B30-30DB10C69A8D}">
            <x14:dataBar minLength="0" maxLength="100" negativeBarColorSameAsPositive="1" axisPosition="none">
              <x14:cfvo type="num">
                <xm:f>0</xm:f>
              </x14:cfvo>
              <x14:cfvo type="num">
                <xm:f>1</xm:f>
              </x14:cfvo>
            </x14:dataBar>
          </x14:cfRule>
          <xm:sqref>Q29 Q16 Q42 Q55 Q68 Q81 Q94 Q107 Q120 Q133 Q146 Q159</xm:sqref>
        </x14:conditionalFormatting>
        <x14:conditionalFormatting xmlns:xm="http://schemas.microsoft.com/office/excel/2006/main">
          <x14:cfRule type="dataBar" id="{FBB8250D-6D2F-473D-B37E-D1AFC7D1788D}">
            <x14:dataBar minLength="0" maxLength="100" negativeBarColorSameAsPositive="1" axisPosition="none">
              <x14:cfvo type="num">
                <xm:f>0</xm:f>
              </x14:cfvo>
              <x14:cfvo type="num">
                <xm:f>1</xm:f>
              </x14:cfvo>
            </x14:dataBar>
          </x14:cfRule>
          <xm:sqref>S4:S15 S17:S28 S30:S41 S43:S54 S56:S67 S69:S80 S82:S93 S95:S106 S108:S119 S121:S132 S134:S145 S147:S158 S160</xm:sqref>
        </x14:conditionalFormatting>
        <x14:conditionalFormatting xmlns:xm="http://schemas.microsoft.com/office/excel/2006/main">
          <x14:cfRule type="dataBar" id="{F39DFEBF-1B70-4E72-8C0D-B2D5A4B3F798}">
            <x14:dataBar minLength="0" maxLength="100" negativeBarColorSameAsPositive="1" axisPosition="none">
              <x14:cfvo type="num">
                <xm:f>0</xm:f>
              </x14:cfvo>
              <x14:cfvo type="num">
                <xm:f>1</xm:f>
              </x14:cfvo>
            </x14:dataBar>
          </x14:cfRule>
          <xm:sqref>S29 S16 S42 S55 S68 S81 S94 S107 S120 S133 S146 S159</xm:sqref>
        </x14:conditionalFormatting>
        <x14:conditionalFormatting xmlns:xm="http://schemas.microsoft.com/office/excel/2006/main">
          <x14:cfRule type="dataBar" id="{5E6219EA-22F5-4443-8BB9-9A7A03DAD8DA}">
            <x14:dataBar minLength="0" maxLength="100" negativeBarColorSameAsPositive="1" axisPosition="none">
              <x14:cfvo type="num">
                <xm:f>0</xm:f>
              </x14:cfvo>
              <x14:cfvo type="num">
                <xm:f>1</xm:f>
              </x14:cfvo>
            </x14:dataBar>
          </x14:cfRule>
          <xm:sqref>U4:U15 U17:U28 U30:U41 U43:U54 U56:U67 U69:U80 U82:U93 U95:U106 U108:U119 U121:U132 U134:U145 U147:U158 U160</xm:sqref>
        </x14:conditionalFormatting>
        <x14:conditionalFormatting xmlns:xm="http://schemas.microsoft.com/office/excel/2006/main">
          <x14:cfRule type="dataBar" id="{2DF3DABF-6B67-4785-B411-818291577759}">
            <x14:dataBar minLength="0" maxLength="100" negativeBarColorSameAsPositive="1" axisPosition="none">
              <x14:cfvo type="num">
                <xm:f>0</xm:f>
              </x14:cfvo>
              <x14:cfvo type="num">
                <xm:f>1</xm:f>
              </x14:cfvo>
            </x14:dataBar>
          </x14:cfRule>
          <xm:sqref>U16 U29 U42 U55 U68 U81 U94 U107 U120 U133 U146 U159</xm:sqref>
        </x14:conditionalFormatting>
        <x14:conditionalFormatting xmlns:xm="http://schemas.microsoft.com/office/excel/2006/main">
          <x14:cfRule type="dataBar" id="{191454D2-8F58-4594-B290-1206944B334F}">
            <x14:dataBar minLength="0" maxLength="100" negativeBarColorSameAsPositive="1" axisPosition="none">
              <x14:cfvo type="num">
                <xm:f>0</xm:f>
              </x14:cfvo>
              <x14:cfvo type="num">
                <xm:f>1</xm:f>
              </x14:cfvo>
            </x14:dataBar>
          </x14:cfRule>
          <xm:sqref>W4:W15 W17:W28 W30:W41 W43:W54 W56:W67 W69:W80 W82:W93 W95:W106 W108:W119 W121:W132 W134:W145 W147:W158 W160</xm:sqref>
        </x14:conditionalFormatting>
        <x14:conditionalFormatting xmlns:xm="http://schemas.microsoft.com/office/excel/2006/main">
          <x14:cfRule type="dataBar" id="{2A1F899F-65D9-45DA-B249-A71A77367C34}">
            <x14:dataBar minLength="0" maxLength="100" negativeBarColorSameAsPositive="1" axisPosition="none">
              <x14:cfvo type="num">
                <xm:f>0</xm:f>
              </x14:cfvo>
              <x14:cfvo type="num">
                <xm:f>1</xm:f>
              </x14:cfvo>
            </x14:dataBar>
          </x14:cfRule>
          <xm:sqref>W16 W29 W42 W55 W68 W81 W94 W107 W120 W133 W146 W159</xm:sqref>
        </x14:conditionalFormatting>
        <x14:conditionalFormatting xmlns:xm="http://schemas.microsoft.com/office/excel/2006/main">
          <x14:cfRule type="dataBar" id="{7D012C8A-4A84-4941-9A54-416E1581DDAB}">
            <x14:dataBar minLength="0" maxLength="100" negativeBarColorSameAsPositive="1" axisPosition="none">
              <x14:cfvo type="num">
                <xm:f>0</xm:f>
              </x14:cfvo>
              <x14:cfvo type="num">
                <xm:f>1</xm:f>
              </x14:cfvo>
            </x14:dataBar>
          </x14:cfRule>
          <xm:sqref>Y4:Y15 Y17:Y28 Y30:Y41 Y43:Y54 Y56:Y67 Y69:Y80 Y82:Y93 Y95:Y106 Y108:Y119 Y121:Y132 Y134:Y145 Y147:Y158 Y160</xm:sqref>
        </x14:conditionalFormatting>
        <x14:conditionalFormatting xmlns:xm="http://schemas.microsoft.com/office/excel/2006/main">
          <x14:cfRule type="dataBar" id="{73BE017E-C6F0-4850-96EC-A9F77A69D524}">
            <x14:dataBar minLength="0" maxLength="100" negativeBarColorSameAsPositive="1" axisPosition="none">
              <x14:cfvo type="num">
                <xm:f>0</xm:f>
              </x14:cfvo>
              <x14:cfvo type="num">
                <xm:f>1</xm:f>
              </x14:cfvo>
            </x14:dataBar>
          </x14:cfRule>
          <xm:sqref>Y16 Y29 Y42 Y55 Y68 Y81 Y94 Y107 Y120 Y133 Y146 Y159</xm:sqref>
        </x14:conditionalFormatting>
        <x14:conditionalFormatting xmlns:xm="http://schemas.microsoft.com/office/excel/2006/main">
          <x14:cfRule type="dataBar" id="{6A237668-581B-4C00-AC42-592D6B6B8014}">
            <x14:dataBar minLength="0" maxLength="100" negativeBarColorSameAsPositive="1" axisPosition="none">
              <x14:cfvo type="num">
                <xm:f>0</xm:f>
              </x14:cfvo>
              <x14:cfvo type="num">
                <xm:f>1</xm:f>
              </x14:cfvo>
            </x14:dataBar>
          </x14:cfRule>
          <xm:sqref>AA4:AA15 AA17:AA28 AA30:AA41 AA43:AA54 AA56:AA67 AA69:AA80 AA82:AA93 AA95:AA106 AA108:AA119 AA121:AA132 AA134:AA145 AA147:AA158 AA160</xm:sqref>
        </x14:conditionalFormatting>
        <x14:conditionalFormatting xmlns:xm="http://schemas.microsoft.com/office/excel/2006/main">
          <x14:cfRule type="dataBar" id="{8D43ADE4-3913-41E0-A0FC-BE44304F891B}">
            <x14:dataBar minLength="0" maxLength="100" negativeBarColorSameAsPositive="1" axisPosition="none">
              <x14:cfvo type="num">
                <xm:f>0</xm:f>
              </x14:cfvo>
              <x14:cfvo type="num">
                <xm:f>1</xm:f>
              </x14:cfvo>
            </x14:dataBar>
          </x14:cfRule>
          <xm:sqref>AA16 AA29 AA42 AA55 AA68 AA81 AA94 AA107 AA120 AA133 AA146 AA159</xm:sqref>
        </x14:conditionalFormatting>
        <x14:conditionalFormatting xmlns:xm="http://schemas.microsoft.com/office/excel/2006/main">
          <x14:cfRule type="dataBar" id="{C79A622A-9907-401D-A04D-12B528E6F074}">
            <x14:dataBar minLength="0" maxLength="100" negativeBarColorSameAsPositive="1" axisPosition="none">
              <x14:cfvo type="num">
                <xm:f>0</xm:f>
              </x14:cfvo>
              <x14:cfvo type="num">
                <xm:f>1</xm:f>
              </x14:cfvo>
            </x14:dataBar>
          </x14:cfRule>
          <xm:sqref>AC4:AC15 AC17:AC28 AC30:AC41 AC43:AC54 AC56:AC67 AC69:AC80 AC82:AC93 AC95:AC106 AC108:AC119 AC121:AC132 AC134:AC145 AC147:AC158 AC160</xm:sqref>
        </x14:conditionalFormatting>
        <x14:conditionalFormatting xmlns:xm="http://schemas.microsoft.com/office/excel/2006/main">
          <x14:cfRule type="dataBar" id="{ADD7BC38-927C-46AA-9736-F6DFD806239B}">
            <x14:dataBar minLength="0" maxLength="100" negativeBarColorSameAsPositive="1" axisPosition="none">
              <x14:cfvo type="num">
                <xm:f>0</xm:f>
              </x14:cfvo>
              <x14:cfvo type="num">
                <xm:f>1</xm:f>
              </x14:cfvo>
            </x14:dataBar>
          </x14:cfRule>
          <xm:sqref>AC16 AC29 AC42 AC55 AC68 AC81 AC94 AC107 AC120 AC133 AC146 AC159</xm:sqref>
        </x14:conditionalFormatting>
        <x14:conditionalFormatting xmlns:xm="http://schemas.microsoft.com/office/excel/2006/main">
          <x14:cfRule type="dataBar" id="{5ECAF9D9-20CF-4D52-B2BE-10F8BC4B0275}">
            <x14:dataBar minLength="0" maxLength="100" negativeBarColorSameAsPositive="1" axisPosition="none">
              <x14:cfvo type="num">
                <xm:f>0</xm:f>
              </x14:cfvo>
              <x14:cfvo type="num">
                <xm:f>1</xm:f>
              </x14:cfvo>
            </x14:dataBar>
          </x14:cfRule>
          <xm:sqref>AD4:AD15 AD17:AD28 AD30:AD41 AD43:AD54 AD56:AD67 AD69:AD80 AD82:AD93 AD95:AD106 AD108:AD119 AD121:AD132 AD134:AD145 AD147:AD158 AD160</xm:sqref>
        </x14:conditionalFormatting>
        <x14:conditionalFormatting xmlns:xm="http://schemas.microsoft.com/office/excel/2006/main">
          <x14:cfRule type="dataBar" id="{90632DFA-9C05-4A54-81E0-44F60A380FCC}">
            <x14:dataBar minLength="0" maxLength="100" negativeBarColorSameAsPositive="1" axisPosition="none">
              <x14:cfvo type="num">
                <xm:f>0</xm:f>
              </x14:cfvo>
              <x14:cfvo type="num">
                <xm:f>1</xm:f>
              </x14:cfvo>
            </x14:dataBar>
          </x14:cfRule>
          <xm:sqref>AD16 AD29 AD42 AD55 AD68 AD81 AD94 AD107 AD120 AD133 AD146 AD159</xm:sqref>
        </x14:conditionalFormatting>
        <x14:conditionalFormatting xmlns:xm="http://schemas.microsoft.com/office/excel/2006/main">
          <x14:cfRule type="dataBar" id="{03512788-418C-4EAE-97BB-D3479968C6D5}">
            <x14:dataBar minLength="0" maxLength="100" negativeBarColorSameAsPositive="1" axisPosition="none">
              <x14:cfvo type="num">
                <xm:f>0</xm:f>
              </x14:cfvo>
              <x14:cfvo type="num">
                <xm:f>1</xm:f>
              </x14:cfvo>
            </x14:dataBar>
          </x14:cfRule>
          <xm:sqref>AE4:AE15 AE17:AE28 AE30:AE41 AE43:AE54 AE56:AE67 AE69:AE80 AE82:AE93 AE95:AE106 AE108:AE119 AE121:AE132 AE134:AE145 AE147:AE158 AE160</xm:sqref>
        </x14:conditionalFormatting>
        <x14:conditionalFormatting xmlns:xm="http://schemas.microsoft.com/office/excel/2006/main">
          <x14:cfRule type="dataBar" id="{1C6232FC-2F54-4CF8-8474-B097BFC84D24}">
            <x14:dataBar minLength="0" maxLength="100" negativeBarColorSameAsPositive="1" axisPosition="none">
              <x14:cfvo type="num">
                <xm:f>0</xm:f>
              </x14:cfvo>
              <x14:cfvo type="num">
                <xm:f>1</xm:f>
              </x14:cfvo>
            </x14:dataBar>
          </x14:cfRule>
          <xm:sqref>AE16 AE29 AE42 AE55 AE68 AE81 AE94 AE107 AE120 AE133 AE146 AE159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7</vt:i4>
      </vt:variant>
      <vt:variant>
        <vt:lpstr>命名范围</vt:lpstr>
      </vt:variant>
      <vt:variant>
        <vt:i4>3</vt:i4>
      </vt:variant>
    </vt:vector>
  </HeadingPairs>
  <TitlesOfParts>
    <vt:vector size="10" baseType="lpstr">
      <vt:lpstr>日报</vt:lpstr>
      <vt:lpstr>OA进度表</vt:lpstr>
      <vt:lpstr>ERP进度</vt:lpstr>
      <vt:lpstr>机舱-7</vt:lpstr>
      <vt:lpstr>散工位-39</vt:lpstr>
      <vt:lpstr>外委夹具-胜德-127</vt:lpstr>
      <vt:lpstr>外委夹具-承昌-34</vt:lpstr>
      <vt:lpstr>OA进度表!Print_Area</vt:lpstr>
      <vt:lpstr>OA进度表!多乐June</vt:lpstr>
      <vt:lpstr>OA进度表!多乐June设计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aixiaoxiang</cp:lastModifiedBy>
  <dcterms:created xsi:type="dcterms:W3CDTF">2006-09-16T00:00:00Z</dcterms:created>
  <dcterms:modified xsi:type="dcterms:W3CDTF">2026-06-16T05:13:29Z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6905EFBADE3548C68C81A1360EEEC070_13</vt:lpwstr>
  </property>
  <property fmtid="{D5CDD505-2E9C-101B-9397-08002B2CF9AE}" pid="3" name="KSOProductBuildVer">
    <vt:lpwstr>2052-12.1.0.25225</vt:lpwstr>
  </property>
  <property fmtid="{D5CDD505-2E9C-101B-9397-08002B2CF9AE}" pid="4" name="CalculationRule">
    <vt:i4>0</vt:i4>
  </property>
</Properties>
</file>